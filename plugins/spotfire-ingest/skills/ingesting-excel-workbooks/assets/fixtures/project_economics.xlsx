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Inputs" sheetId="1" r:id="rId1"/>
    <sheet name="Profile" sheetId="2" r:id="rId2"/>
    <sheet name="Cashflow" sheetId="3" r:id="rId3"/>
    <sheet name="Calc_old" sheetId="4" state="hidden" r:id="rId4"/>
  </sheets>
  <externalReferences>
    <externalReference r:id="rId5"/>
  </externalReferences>
  <definedNames>
    <definedName name="Capex">Inputs!$B$3</definedName>
    <definedName name="Price">Inputs!$B$4</definedName>
    <definedName name="Opex">Inputs!$B$5</definedName>
    <definedName name="Royalty">Inputs!$B$6</definedName>
    <definedName name="TaxRate">Inputs!$B$7</definedName>
    <definedName name="DiscountRate">Inputs!$B$8</definedName>
    <definedName name="Debt">Inputs!$B$9</definedName>
    <definedName name="InterestRate">Inputs!$B$10</definedName>
    <definedName name="solver_opt" localSheetId="2" hidden="1">Cashflow!$C$19</definedName>
    <definedName name="solver_adj" localSheetId="2" hidden="1">Inputs!$B$4</definedName>
    <definedName name="solver_typ" localSheetId="2" hidden="1">3</definedName>
    <definedName name="solver_val" localSheetId="2" hidden="1">0</definedName>
  </definedNames>
  <calcPr calcId="191029" iterate="1" iterateCount="100" iterateDelta="0.001"/>
</workbook>
</file>

<file path=xl/sharedStrings.xml><?xml version="1.0" encoding="utf-8"?>
<sst xmlns="http://schemas.openxmlformats.org/spreadsheetml/2006/main" count="31" uniqueCount="31">
  <si>
    <t>Project economics inputs</t>
  </si>
  <si>
    <t>Capex ($MM)</t>
  </si>
  <si>
    <t>Oil price ($/bbl)</t>
  </si>
  <si>
    <t>Opex ($MM/yr)</t>
  </si>
  <si>
    <t>Royalty rate</t>
  </si>
  <si>
    <t>Tax rate</t>
  </si>
  <si>
    <t>Discount rate</t>
  </si>
  <si>
    <t>Debt amount ($MM)</t>
  </si>
  <si>
    <t>Interest rate</t>
  </si>
  <si>
    <t>Production profile</t>
  </si>
  <si>
    <t>Year</t>
  </si>
  <si>
    <t>Production (MMbbl)</t>
  </si>
  <si>
    <t>Cash flow</t>
  </si>
  <si>
    <t>Revenue ($MM)</t>
  </si>
  <si>
    <t>Royalty ($MM)</t>
  </si>
  <si>
    <t>Opex ($MM)</t>
  </si>
  <si>
    <t>Opening debt ($MM)</t>
  </si>
  <si>
    <t>Interest ($MM)</t>
  </si>
  <si>
    <t>Cash available for debt ($MM)</t>
  </si>
  <si>
    <t>Closing debt ($MM)</t>
  </si>
  <si>
    <t>Taxable income ($MM)</t>
  </si>
  <si>
    <t>Tax ($MM)</t>
  </si>
  <si>
    <t>Net cash flow ($MM)</t>
  </si>
  <si>
    <t>Discount factor</t>
  </si>
  <si>
    <t>Discounted cash flow ($MM)</t>
  </si>
  <si>
    <t>Cumulative DCF ($MM)</t>
  </si>
  <si>
    <t>NPV ($MM)</t>
  </si>
  <si>
    <t>NPV, NPV function ($MM)</t>
  </si>
  <si>
    <t>IRR</t>
  </si>
  <si>
    <t>Old NPV check</t>
  </si>
  <si>
    <t>NPV at 8% ($MM)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</si>
</sst>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externalLink" Target="externalLinks/externalLink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Cumulative discounted cash flow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Cashflow!$A$17</c:f>
            </c:strRef>
          </c:tx>
          <c:cat>
            <c:numRef>
              <c:f>Cashflow!$C$3:$L$3</c:f>
            </c:numRef>
          </c:cat>
          <c:val>
            <c:numRef>
              <c:f>Cashflow!$C$17:$L$17</c:f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plotVisOnly val="1"/>
  </c:chart>
</c:chartSpace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price_deck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Deck"/>
    </sheetNames>
    <sheetDataSet>
      <sheetData sheetId="0">
        <row r="2">
          <cell r="B2">
            <v>70.0</v>
          </cell>
        </row>
      </sheetData>
    </sheetDataSet>
  </externalBook>
</externalLink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>
      <c r="A1" s="4" t="s">
        <v>0</v>
      </c>
    </row>
    <row r="3">
      <c r="A3" t="s">
        <v>1</v>
      </c>
      <c r="B3">
        <v>250.0</v>
      </c>
    </row>
    <row r="4">
      <c r="A4" t="s">
        <v>2</v>
      </c>
      <c r="B4">
        <f>[1]Deck!$B$2</f>
        <v>70.0</v>
      </c>
    </row>
    <row r="5">
      <c r="A5" t="s">
        <v>3</v>
      </c>
      <c r="B5">
        <v>8.0</v>
      </c>
    </row>
    <row r="6">
      <c r="A6" t="s">
        <v>4</v>
      </c>
      <c r="B6" s="2">
        <v>0.125</v>
      </c>
    </row>
    <row r="7">
      <c r="A7" t="s">
        <v>5</v>
      </c>
      <c r="B7" s="2">
        <v>0.25</v>
      </c>
    </row>
    <row r="8">
      <c r="A8" t="s">
        <v>6</v>
      </c>
      <c r="B8" s="2">
        <v>0.1</v>
      </c>
    </row>
    <row r="9">
      <c r="A9" t="s">
        <v>7</v>
      </c>
      <c r="B9">
        <v>100.0</v>
      </c>
    </row>
    <row r="10">
      <c r="A10" t="s">
        <v>8</v>
      </c>
      <c r="B10" s="2">
        <v>0.07</v>
      </c>
    </row>
  </sheetData>
  <dataValidations count="1">
    <dataValidation type="list" allowBlank="1" showInputMessage="1" showErrorMessage="1" sqref="B8">
      <formula1>"0.08,0.1,0.12"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>
      <c r="A1" s="4" t="s">
        <v>9</v>
      </c>
    </row>
    <row r="3">
      <c r="A3" t="s">
        <v>10</v>
      </c>
      <c r="B3">
        <v>1.0</v>
      </c>
      <c r="C3">
        <v>2.0</v>
      </c>
      <c r="D3">
        <v>3.0</v>
      </c>
      <c r="E3">
        <v>4.0</v>
      </c>
      <c r="F3">
        <v>5.0</v>
      </c>
      <c r="G3">
        <v>6.0</v>
      </c>
      <c r="H3">
        <v>7.0</v>
      </c>
      <c r="I3">
        <v>8.0</v>
      </c>
      <c r="J3">
        <v>9.0</v>
      </c>
      <c r="K3">
        <v>10.0</v>
      </c>
    </row>
    <row r="4">
      <c r="A4" t="s">
        <v>11</v>
      </c>
      <c r="B4">
        <v>2.0</v>
      </c>
      <c r="C4">
        <v>3.5</v>
      </c>
      <c r="D4">
        <v>3.2</v>
      </c>
      <c r="E4">
        <v>2.8</v>
      </c>
      <c r="F4">
        <v>2.4</v>
      </c>
      <c r="G4">
        <v>2.0</v>
      </c>
      <c r="H4">
        <v>1.7</v>
      </c>
      <c r="I4">
        <v>1.4</v>
      </c>
      <c r="J4">
        <v>1.2</v>
      </c>
      <c r="K4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>
      <c r="A1" s="4" t="s">
        <v>12</v>
      </c>
    </row>
    <row r="3">
      <c r="A3" t="s">
        <v>10</v>
      </c>
      <c r="C3">
        <f t="shared" ref="C3:L3" si="0">Profile!B3</f>
        <v>1.0</v>
      </c>
      <c r="D3">
        <f t="shared" si="0"/>
        <v>2.0</v>
      </c>
      <c r="E3">
        <f t="shared" si="0"/>
        <v>3.0</v>
      </c>
      <c r="F3">
        <f t="shared" si="0"/>
        <v>4.0</v>
      </c>
      <c r="G3">
        <f t="shared" si="0"/>
        <v>5.0</v>
      </c>
      <c r="H3">
        <f t="shared" si="0"/>
        <v>6.0</v>
      </c>
      <c r="I3">
        <f t="shared" si="0"/>
        <v>7.0</v>
      </c>
      <c r="J3">
        <f t="shared" si="0"/>
        <v>8.0</v>
      </c>
      <c r="K3">
        <f t="shared" si="0"/>
        <v>9.0</v>
      </c>
      <c r="L3">
        <f t="shared" si="0"/>
        <v>10.0</v>
      </c>
    </row>
    <row r="4">
      <c r="A4" t="s">
        <v>11</v>
      </c>
      <c r="C4">
        <f t="shared" ref="C4:L4" si="1">Profile!B4</f>
        <v>2.0</v>
      </c>
      <c r="D4">
        <f t="shared" si="1"/>
        <v>3.5</v>
      </c>
      <c r="E4">
        <f t="shared" si="1"/>
        <v>3.2</v>
      </c>
      <c r="F4">
        <f t="shared" si="1"/>
        <v>2.8</v>
      </c>
      <c r="G4">
        <f t="shared" si="1"/>
        <v>2.4</v>
      </c>
      <c r="H4">
        <f t="shared" si="1"/>
        <v>2.0</v>
      </c>
      <c r="I4">
        <f t="shared" si="1"/>
        <v>1.7</v>
      </c>
      <c r="J4">
        <f t="shared" si="1"/>
        <v>1.4</v>
      </c>
      <c r="K4">
        <f t="shared" si="1"/>
        <v>1.2</v>
      </c>
      <c r="L4">
        <f t="shared" si="1"/>
        <v>1.0</v>
      </c>
    </row>
    <row r="5">
      <c r="A5" t="s">
        <v>13</v>
      </c>
      <c r="C5">
        <f t="shared" ref="C5:L5" si="2">C4*Price</f>
        <v>140.0</v>
      </c>
      <c r="D5">
        <f t="shared" si="2"/>
        <v>245.0</v>
      </c>
      <c r="E5">
        <f t="shared" si="2"/>
        <v>224.0</v>
      </c>
      <c r="F5">
        <f t="shared" si="2"/>
        <v>196.0</v>
      </c>
      <c r="G5">
        <f t="shared" si="2"/>
        <v>168.0</v>
      </c>
      <c r="H5">
        <f t="shared" si="2"/>
        <v>140.0</v>
      </c>
      <c r="I5">
        <f t="shared" si="2"/>
        <v>119.0</v>
      </c>
      <c r="J5">
        <f t="shared" si="2"/>
        <v>98.0</v>
      </c>
      <c r="K5">
        <f t="shared" si="2"/>
        <v>84.0</v>
      </c>
      <c r="L5">
        <f t="shared" si="2"/>
        <v>70.0</v>
      </c>
    </row>
    <row r="6">
      <c r="A6" t="s">
        <v>14</v>
      </c>
      <c r="C6">
        <f t="shared" ref="C6:L6" si="3">C5*0.125</f>
        <v>17.5</v>
      </c>
      <c r="D6">
        <f t="shared" si="3"/>
        <v>30.625</v>
      </c>
      <c r="E6">
        <f t="shared" si="3"/>
        <v>28.0</v>
      </c>
      <c r="F6">
        <f t="shared" si="3"/>
        <v>24.5</v>
      </c>
      <c r="G6">
        <f t="shared" si="3"/>
        <v>21.0</v>
      </c>
      <c r="H6">
        <f t="shared" si="3"/>
        <v>17.5</v>
      </c>
      <c r="I6">
        <f t="shared" si="3"/>
        <v>14.875</v>
      </c>
      <c r="J6">
        <f t="shared" si="3"/>
        <v>12.25</v>
      </c>
      <c r="K6">
        <f t="shared" si="3"/>
        <v>10.5</v>
      </c>
      <c r="L6">
        <f t="shared" si="3"/>
        <v>8.75</v>
      </c>
    </row>
    <row r="7">
      <c r="A7" t="s">
        <v>15</v>
      </c>
      <c r="C7">
        <f t="shared" ref="C7:L7" si="4">Opex</f>
        <v>8.0</v>
      </c>
      <c r="D7">
        <f t="shared" si="4"/>
        <v>8.0</v>
      </c>
      <c r="E7">
        <f t="shared" si="4"/>
        <v>8.0</v>
      </c>
      <c r="F7">
        <f t="shared" si="4"/>
        <v>8.0</v>
      </c>
      <c r="G7">
        <f t="shared" si="4"/>
        <v>8.0</v>
      </c>
      <c r="H7">
        <f t="shared" si="4"/>
        <v>8.0</v>
      </c>
      <c r="I7">
        <f t="shared" si="4"/>
        <v>8.0</v>
      </c>
      <c r="J7">
        <f t="shared" si="4"/>
        <v>8.0</v>
      </c>
      <c r="K7">
        <f t="shared" si="4"/>
        <v>8.0</v>
      </c>
      <c r="L7">
        <f t="shared" si="4"/>
        <v>8.0</v>
      </c>
    </row>
    <row r="8">
      <c r="A8" t="s">
        <v>16</v>
      </c>
      <c r="C8">
        <f>Debt</f>
        <v>100.0</v>
      </c>
      <c r="D8">
        <f t="shared" ref="D8:L8" si="5">C11</f>
        <v>55.984800506649776</v>
      </c>
      <c r="E8">
        <f t="shared" si="5"/>
        <v>0.0</v>
      </c>
      <c r="F8">
        <f t="shared" si="5"/>
        <v>0.0</v>
      </c>
      <c r="G8">
        <f t="shared" si="5"/>
        <v>0.0</v>
      </c>
      <c r="H8">
        <f t="shared" si="5"/>
        <v>0.0</v>
      </c>
      <c r="I8">
        <f t="shared" si="5"/>
        <v>0.0</v>
      </c>
      <c r="J8">
        <f t="shared" si="5"/>
        <v>0.0</v>
      </c>
      <c r="K8">
        <f t="shared" si="5"/>
        <v>0.0</v>
      </c>
      <c r="L8">
        <f t="shared" si="5"/>
        <v>0.0</v>
      </c>
    </row>
    <row r="9">
      <c r="A9" t="s">
        <v>17</v>
      </c>
      <c r="C9">
        <f t="shared" ref="C9:L9" si="6">InterestRate*(C8+C11)/2</f>
        <v>5.459468017732743</v>
      </c>
      <c r="D9">
        <f t="shared" si="6"/>
        <v>1.9594680177327424</v>
      </c>
      <c r="E9">
        <f t="shared" si="6"/>
        <v>0.0</v>
      </c>
      <c r="F9">
        <f t="shared" si="6"/>
        <v>0.0</v>
      </c>
      <c r="G9">
        <f t="shared" si="6"/>
        <v>0.0</v>
      </c>
      <c r="H9">
        <f t="shared" si="6"/>
        <v>0.0</v>
      </c>
      <c r="I9">
        <f t="shared" si="6"/>
        <v>0.0</v>
      </c>
      <c r="J9">
        <f t="shared" si="6"/>
        <v>0.0</v>
      </c>
      <c r="K9">
        <f t="shared" si="6"/>
        <v>0.0</v>
      </c>
      <c r="L9">
        <f t="shared" si="6"/>
        <v>0.0</v>
      </c>
    </row>
    <row r="10">
      <c r="A10" t="s">
        <v>18</v>
      </c>
      <c r="C10">
        <f t="shared" ref="C10:L10" si="7">C5-C6-C7-C9-C13</f>
        <v>88.03039898670045</v>
      </c>
      <c r="D10">
        <f t="shared" si="7"/>
        <v>159.56164898670045</v>
      </c>
      <c r="E10">
        <f t="shared" si="7"/>
        <v>147.25</v>
      </c>
      <c r="F10">
        <f t="shared" si="7"/>
        <v>128.875</v>
      </c>
      <c r="G10">
        <f t="shared" si="7"/>
        <v>110.5</v>
      </c>
      <c r="H10">
        <f t="shared" si="7"/>
        <v>79.5</v>
      </c>
      <c r="I10">
        <f t="shared" si="7"/>
        <v>78.34375</v>
      </c>
      <c r="J10">
        <f t="shared" si="7"/>
        <v>64.5625</v>
      </c>
      <c r="K10">
        <f t="shared" si="7"/>
        <v>55.375</v>
      </c>
      <c r="L10">
        <f t="shared" si="7"/>
        <v>46.1875</v>
      </c>
    </row>
    <row r="11">
      <c r="A11" t="s">
        <v>19</v>
      </c>
      <c r="C11">
        <f t="shared" ref="C11:L11" si="8">MAX(0,C8-MIN(C8,MAX(0,C10)*0.5))</f>
        <v>55.984800506649776</v>
      </c>
      <c r="D11">
        <f t="shared" si="8"/>
        <v>0.0</v>
      </c>
      <c r="E11">
        <f t="shared" si="8"/>
        <v>0.0</v>
      </c>
      <c r="F11">
        <f t="shared" si="8"/>
        <v>0.0</v>
      </c>
      <c r="G11">
        <f t="shared" si="8"/>
        <v>0.0</v>
      </c>
      <c r="H11">
        <f t="shared" si="8"/>
        <v>0.0</v>
      </c>
      <c r="I11">
        <f t="shared" si="8"/>
        <v>0.0</v>
      </c>
      <c r="J11">
        <f t="shared" si="8"/>
        <v>0.0</v>
      </c>
      <c r="K11">
        <f t="shared" si="8"/>
        <v>0.0</v>
      </c>
      <c r="L11">
        <f t="shared" si="8"/>
        <v>0.0</v>
      </c>
    </row>
    <row r="12">
      <c r="A12" t="s">
        <v>20</v>
      </c>
      <c r="C12">
        <f t="shared" ref="C12:L12" si="9">C5-C6-C7-C9-Capex/10</f>
        <v>84.04053198226727</v>
      </c>
      <c r="D12">
        <f t="shared" si="9"/>
        <v>179.41553198226725</v>
      </c>
      <c r="E12">
        <f t="shared" si="9"/>
        <v>163.0</v>
      </c>
      <c r="F12">
        <f t="shared" si="9"/>
        <v>138.5</v>
      </c>
      <c r="G12">
        <f t="shared" si="9"/>
        <v>114.0</v>
      </c>
      <c r="H12">
        <f t="shared" si="9"/>
        <v>89.5</v>
      </c>
      <c r="I12">
        <f t="shared" si="9"/>
        <v>71.125</v>
      </c>
      <c r="J12">
        <f t="shared" si="9"/>
        <v>52.75</v>
      </c>
      <c r="K12">
        <f t="shared" si="9"/>
        <v>40.5</v>
      </c>
      <c r="L12">
        <f t="shared" si="9"/>
        <v>28.25</v>
      </c>
    </row>
    <row r="13">
      <c r="A13" t="s">
        <v>21</v>
      </c>
      <c r="C13">
        <f t="shared" ref="C13:G13" si="10">MAX(0,C12)*TaxRate</f>
        <v>21.010132995566817</v>
      </c>
      <c r="D13">
        <f t="shared" si="10"/>
        <v>44.85388299556681</v>
      </c>
      <c r="E13">
        <f t="shared" si="10"/>
        <v>40.75</v>
      </c>
      <c r="F13">
        <f t="shared" si="10"/>
        <v>34.625</v>
      </c>
      <c r="G13">
        <f t="shared" si="10"/>
        <v>28.5</v>
      </c>
      <c r="H13">
        <f>MAX(0,H5)*TaxRate</f>
        <v>35.0</v>
      </c>
      <c r="I13">
        <f t="shared" ref="I13:L13" si="11">MAX(0,I12)*TaxRate</f>
        <v>17.78125</v>
      </c>
      <c r="J13">
        <f t="shared" si="11"/>
        <v>13.1875</v>
      </c>
      <c r="K13">
        <f t="shared" si="11"/>
        <v>10.125</v>
      </c>
      <c r="L13">
        <f t="shared" si="11"/>
        <v>7.0625</v>
      </c>
    </row>
    <row r="14">
      <c r="A14" t="s">
        <v>22</v>
      </c>
      <c r="C14">
        <f t="shared" ref="C14:L14" si="12">C5-C6-C7-C9-C13-(C8-C11)-IF(C3=1,Capex-Debt,0)</f>
        <v>-105.98480050664979</v>
      </c>
      <c r="D14">
        <f t="shared" si="12"/>
        <v>103.57684848005067</v>
      </c>
      <c r="E14">
        <f t="shared" si="12"/>
        <v>147.25</v>
      </c>
      <c r="F14">
        <f t="shared" si="12"/>
        <v>128.875</v>
      </c>
      <c r="G14">
        <f t="shared" si="12"/>
        <v>110.5</v>
      </c>
      <c r="H14">
        <f t="shared" si="12"/>
        <v>79.5</v>
      </c>
      <c r="I14">
        <f t="shared" si="12"/>
        <v>78.34375</v>
      </c>
      <c r="J14">
        <f t="shared" si="12"/>
        <v>64.5625</v>
      </c>
      <c r="K14">
        <f t="shared" si="12"/>
        <v>55.375</v>
      </c>
      <c r="L14">
        <f t="shared" si="12"/>
        <v>46.1875</v>
      </c>
    </row>
    <row r="15">
      <c r="A15" t="s">
        <v>23</v>
      </c>
      <c r="C15">
        <f t="shared" ref="C15:L15" si="13">1/(1+DiscountRate)^C3</f>
        <v>0.9090909090909091</v>
      </c>
      <c r="D15">
        <f t="shared" si="13"/>
        <v>0.8264462809917354</v>
      </c>
      <c r="E15">
        <f t="shared" si="13"/>
        <v>0.7513148009015775</v>
      </c>
      <c r="F15">
        <f t="shared" si="13"/>
        <v>0.6830134553650705</v>
      </c>
      <c r="G15">
        <f t="shared" si="13"/>
        <v>0.6209213230591549</v>
      </c>
      <c r="H15">
        <f t="shared" si="13"/>
        <v>0.5644739300537772</v>
      </c>
      <c r="I15">
        <f t="shared" si="13"/>
        <v>0.5131581182307065</v>
      </c>
      <c r="J15">
        <f t="shared" si="13"/>
        <v>0.4665073802097331</v>
      </c>
      <c r="K15">
        <f t="shared" si="13"/>
        <v>0.42409761837248455</v>
      </c>
      <c r="L15">
        <f t="shared" si="13"/>
        <v>0.3855432894295314</v>
      </c>
    </row>
    <row r="16">
      <c r="A16" t="s">
        <v>24</v>
      </c>
      <c r="C16">
        <f t="shared" ref="C16:L16" si="14">C14*C15</f>
        <v>-96.34981864240889</v>
      </c>
      <c r="D16">
        <f t="shared" si="14"/>
        <v>85.60070122318237</v>
      </c>
      <c r="E16">
        <f t="shared" si="14"/>
        <v>110.6311044327573</v>
      </c>
      <c r="F16">
        <f t="shared" si="14"/>
        <v>88.02335906017346</v>
      </c>
      <c r="G16">
        <f t="shared" si="14"/>
        <v>68.61180619803662</v>
      </c>
      <c r="H16">
        <f t="shared" si="14"/>
        <v>44.875677439275286</v>
      </c>
      <c r="I16">
        <f t="shared" si="14"/>
        <v>40.20273132513691</v>
      </c>
      <c r="J16">
        <f t="shared" si="14"/>
        <v>30.118882734790894</v>
      </c>
      <c r="K16">
        <f t="shared" si="14"/>
        <v>23.484405617376332</v>
      </c>
      <c r="L16">
        <f t="shared" si="14"/>
        <v>17.807280680526482</v>
      </c>
    </row>
    <row r="17">
      <c r="A17" t="s">
        <v>25</v>
      </c>
      <c r="C17">
        <f>C16</f>
        <v>-96.34981864240889</v>
      </c>
      <c r="D17">
        <f t="shared" ref="D17:L17" si="15">C17+D16</f>
        <v>-10.749117419226522</v>
      </c>
      <c r="E17">
        <f t="shared" si="15"/>
        <v>99.88198701353078</v>
      </c>
      <c r="F17">
        <f t="shared" si="15"/>
        <v>187.90534607370424</v>
      </c>
      <c r="G17">
        <f t="shared" si="15"/>
        <v>256.5171522717409</v>
      </c>
      <c r="H17">
        <f t="shared" si="15"/>
        <v>301.3928297110162</v>
      </c>
      <c r="I17">
        <f t="shared" si="15"/>
        <v>341.5955610361531</v>
      </c>
      <c r="J17">
        <f t="shared" si="15"/>
        <v>371.71444377094394</v>
      </c>
      <c r="K17">
        <f t="shared" si="15"/>
        <v>395.1988493883203</v>
      </c>
      <c r="L17">
        <f t="shared" si="15"/>
        <v>413.0061300688468</v>
      </c>
    </row>
    <row r="19">
      <c r="A19" t="s">
        <v>26</v>
      </c>
      <c r="C19">
        <f>SUM(C16:L16)</f>
        <v>413.00613006884674</v>
      </c>
    </row>
    <row r="20">
      <c r="A20" t="s">
        <v>27</v>
      </c>
      <c r="C20">
        <f>NPV(DiscountRate,C14:L14)</f>
        <v>413.00613006884674</v>
      </c>
    </row>
    <row r="21">
      <c r="A21" t="s">
        <v>28</v>
      </c>
      <c r="C21" s="2">
        <f>IRR(C14:L14)</f>
        <v>1.0973625140079863</v>
      </c>
    </row>
  </sheetData>
  <conditionalFormatting sqref="C17:L1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>
      <c r="A1" s="4" t="s">
        <v>29</v>
      </c>
    </row>
    <row r="3">
      <c r="A3" t="s">
        <v>30</v>
      </c>
      <c r="B3">
        <f>NPV(0.08,Cashflow!C14:L14)</f>
        <v>457.27704821736086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>
  <dc:title>Synthetic test workbook</dc:title>
  <dc:creator>Fixture generator</dc:creator>
</cp:coreProperties>
</file>