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5.xml" ContentType="application/vnd.openxmlformats-officedocument.drawing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Inputs" sheetId="1" r:id="rId1"/>
    <sheet name="Segments" sheetId="2" r:id="rId2"/>
    <sheet name="Lookups" sheetId="3" r:id="rId3"/>
    <sheet name="Calc" sheetId="4" r:id="rId4"/>
    <sheet name="Summary" sheetId="5" r:id="rId5"/>
  </sheets>
  <definedNames>
    <definedName name="FlowRate">Inputs!$B$3</definedName>
    <definedName name="Density">Inputs!$B$4</definedName>
    <definedName name="Viscosity">Inputs!$B$5</definedName>
    <definedName name="Roughness">Inputs!$B$7</definedName>
    <definedName name="InletPressure">Inputs!$B$8</definedName>
  </definedNames>
  <calcPr calcId="191029"/>
</workbook>
</file>

<file path=xl/sharedStrings.xml><?xml version="1.0" encoding="utf-8"?>
<sst xmlns="http://schemas.openxmlformats.org/spreadsheetml/2006/main" count="30" uniqueCount="30">
  <si>
    <t>Line inputs</t>
  </si>
  <si>
    <t>Flow rate (bbl/d)</t>
  </si>
  <si>
    <t>Fluid density (lb/ft3)</t>
  </si>
  <si>
    <t>Viscosity (cP)</t>
  </si>
  <si>
    <t>Pipe age (years)</t>
  </si>
  <si>
    <t>Roughness (in)</t>
  </si>
  <si>
    <t>Inlet pressure (psi)</t>
  </si>
  <si>
    <t>Pipe material</t>
  </si>
  <si>
    <t>Carbon steel</t>
  </si>
  <si>
    <t>Segment</t>
  </si>
  <si>
    <t>Length (ft)</t>
  </si>
  <si>
    <t>Inner diameter (in)</t>
  </si>
  <si>
    <t>Elevation change (ft)</t>
  </si>
  <si>
    <t>Roughness by pipe age</t>
  </si>
  <si>
    <t>Age (years)</t>
  </si>
  <si>
    <t>Pressure drop per segment</t>
  </si>
  <si>
    <t>Darcy-Weisbach with the Swamee-Jain friction factor</t>
  </si>
  <si>
    <t>Velocity (ft/s)</t>
  </si>
  <si>
    <t>Reynolds number</t>
  </si>
  <si>
    <t>Friction factor</t>
  </si>
  <si>
    <t>Friction loss (psi)</t>
  </si>
  <si>
    <t>Elevation loss (kPa)</t>
  </si>
  <si>
    <t>Segment drop (psi)</t>
  </si>
  <si>
    <t>Outlet pressure (psi)</t>
  </si>
  <si>
    <t>Pressure gradient (psi/ft)</t>
  </si>
  <si>
    <t>Friction factor, Blasius</t>
  </si>
  <si>
    <t>Line pressure summary</t>
  </si>
  <si>
    <t>Total pressure drop (psi)</t>
  </si>
  <si>
    <t>Maximum velocity (ft/s)</t>
  </si>
  <si>
    <t>Average gradient (psi/ft)</t>
  </si>
</sst>
</file>

<file path=xl/styles.xml><?xml version="1.0" encoding="utf-8"?>
<styleSheet xmlns="http://schemas.openxmlformats.org/spreadsheetml/2006/main">
  <numFmts count="1">
    <numFmt numFmtId="164" formatCode="0.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0" fontId="0" fillId="0" borderId="0" xfId="0" applyNumberFormat="1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1">
    <dxf>
      <font>
        <color rgb="FF9C0006"/>
      </font>
    </dxf>
  </d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p>
            <a:r>
              <a:t>Outlet pressure profile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Calc!$J$4</c:f>
            </c:strRef>
          </c:tx>
          <c:cat>
            <c:numRef>
              <c:f>Calc!$A$5:$A$24</c:f>
            </c:numRef>
          </c:cat>
          <c:val>
            <c:numRef>
              <c:f>Calc!$J$5:$J$24</c:f>
            </c:numRef>
          </c:val>
        </c:ser>
        <c:axId val="1"/>
        <c:axId val="2"/>
      </c:lineChart>
      <c:catAx>
        <c:axId val="1"/>
        <c:scaling>
          <c:orientation val="minMax"/>
        </c:scaling>
        <c:delete val="0"/>
        <c:axPos val="b"/>
        <c:crossAx val="2"/>
      </c:catAx>
      <c:valAx>
        <c:axId val="2"/>
        <c:scaling>
          <c:orientation val="minMax"/>
        </c:scaling>
        <c:delete val="0"/>
        <c:axPos val="l"/>
        <c:crossAx val="1"/>
      </c:valAx>
    </c:plotArea>
    <c:plotVisOnly val="1"/>
  </c:chart>
</c:chartSpace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xdr:twoCellAnchor>
    <xdr:from>
      <xdr:col>4</xdr:col>
      <xdr:colOff>0</xdr:colOff>
      <xdr:row>2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SegmentData" displayName="SegmentData" ref="A1:D21" totalsRowShown="0">
  <autoFilter ref="A1:D21"/>
  <tableColumns count="4">
    <tableColumn id="1" name="Segment"/>
    <tableColumn id="2" name="Length (ft)"/>
    <tableColumn id="3" name="Inner diameter (in)"/>
    <tableColumn id="4" name="Elevation change (ft)"/>
  </tableColumns>
  <tableStyleInfo name="TableStyleMedium2" showFirstColumn="0" showLastColumn="0" showRowStripes="1" showColumnStripes="0"/>
</tabl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>
      <c r="A1" s="4" t="s">
        <v>0</v>
      </c>
    </row>
    <row r="3">
      <c r="A3" t="s">
        <v>1</v>
      </c>
      <c r="B3">
        <v>12000.0</v>
      </c>
    </row>
    <row r="4">
      <c r="A4" t="s">
        <v>2</v>
      </c>
      <c r="B4">
        <v>53.0</v>
      </c>
    </row>
    <row r="5">
      <c r="A5" t="s">
        <v>3</v>
      </c>
      <c r="B5">
        <v>4.5</v>
      </c>
    </row>
    <row r="6">
      <c r="A6" t="s">
        <v>4</v>
      </c>
      <c r="B6">
        <v>25.0</v>
      </c>
    </row>
    <row r="7">
      <c r="A7" t="s">
        <v>5</v>
      </c>
      <c r="B7">
        <f>VLOOKUP(B6,Lookups!$A$3:$B$7,2)</f>
        <v>0.006</v>
      </c>
    </row>
    <row r="8">
      <c r="A8" t="s">
        <v>6</v>
      </c>
      <c r="B8">
        <v>950.0</v>
      </c>
    </row>
    <row r="9">
      <c r="A9" t="s">
        <v>7</v>
      </c>
      <c r="B9" t="s">
        <v>8</v>
      </c>
    </row>
  </sheetData>
  <dataValidations count="1">
    <dataValidation type="list" allowBlank="1" showInputMessage="1" showErrorMessage="1" sqref="B9">
      <formula1>"Carbon steel,Stainless steel,Coated steel"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>
      <c r="A1" t="s">
        <v>9</v>
      </c>
      <c r="B1" t="s">
        <v>10</v>
      </c>
      <c r="C1" t="s">
        <v>11</v>
      </c>
      <c r="D1" t="s">
        <v>12</v>
      </c>
    </row>
    <row r="2">
      <c r="A2">
        <v>1.0</v>
      </c>
      <c r="B2">
        <v>1800.0</v>
      </c>
      <c r="C2">
        <v>10.02</v>
      </c>
      <c r="D2">
        <v>-20.0</v>
      </c>
    </row>
    <row r="3">
      <c r="A3">
        <v>2.0</v>
      </c>
      <c r="B3">
        <v>2000.0</v>
      </c>
      <c r="C3">
        <v>10.02</v>
      </c>
      <c r="D3">
        <v>60.0</v>
      </c>
    </row>
    <row r="4">
      <c r="A4">
        <v>3.0</v>
      </c>
      <c r="B4">
        <v>900.0</v>
      </c>
      <c r="C4">
        <v>10.02</v>
      </c>
      <c r="D4">
        <v>-30.0</v>
      </c>
    </row>
    <row r="5">
      <c r="A5">
        <v>4.0</v>
      </c>
      <c r="B5">
        <v>2500.0</v>
      </c>
      <c r="C5">
        <v>10.02</v>
      </c>
      <c r="D5">
        <v>-30.0</v>
      </c>
    </row>
    <row r="6">
      <c r="A6">
        <v>5.0</v>
      </c>
      <c r="B6">
        <v>1900.0</v>
      </c>
      <c r="C6">
        <v>10.02</v>
      </c>
      <c r="D6">
        <v>50.0</v>
      </c>
    </row>
    <row r="7">
      <c r="A7">
        <v>6.0</v>
      </c>
      <c r="B7">
        <v>900.0</v>
      </c>
      <c r="C7">
        <v>10.02</v>
      </c>
      <c r="D7">
        <v>40.0</v>
      </c>
    </row>
    <row r="8">
      <c r="A8">
        <v>7.0</v>
      </c>
      <c r="B8">
        <v>1400.0</v>
      </c>
      <c r="C8">
        <v>10.02</v>
      </c>
      <c r="D8">
        <v>-40.0</v>
      </c>
    </row>
    <row r="9">
      <c r="A9">
        <v>8.0</v>
      </c>
      <c r="B9">
        <v>1000.0</v>
      </c>
      <c r="C9">
        <v>10.02</v>
      </c>
      <c r="D9">
        <v>20.0</v>
      </c>
    </row>
    <row r="10">
      <c r="A10">
        <v>9.0</v>
      </c>
      <c r="B10">
        <v>0.0</v>
      </c>
      <c r="C10">
        <v>10.02</v>
      </c>
      <c r="D10">
        <v>20.0</v>
      </c>
    </row>
    <row r="11">
      <c r="A11">
        <v>10.0</v>
      </c>
      <c r="B11">
        <v>1000.0</v>
      </c>
      <c r="C11">
        <v>10.02</v>
      </c>
      <c r="D11">
        <v>-10.0</v>
      </c>
    </row>
    <row r="12">
      <c r="A12">
        <v>11.0</v>
      </c>
      <c r="B12">
        <v>1000.0</v>
      </c>
      <c r="C12">
        <v>7.981</v>
      </c>
      <c r="D12">
        <v>40.0</v>
      </c>
    </row>
    <row r="13">
      <c r="A13">
        <v>12.0</v>
      </c>
      <c r="B13">
        <v>2100.0</v>
      </c>
      <c r="C13">
        <v>7.981</v>
      </c>
      <c r="D13">
        <v>-40.0</v>
      </c>
    </row>
    <row r="14">
      <c r="A14">
        <v>13.0</v>
      </c>
      <c r="B14">
        <v>1100.0</v>
      </c>
      <c r="C14">
        <v>7.981</v>
      </c>
      <c r="D14">
        <v>-10.0</v>
      </c>
    </row>
    <row r="15">
      <c r="A15">
        <v>14.0</v>
      </c>
      <c r="B15">
        <v>900.0</v>
      </c>
      <c r="C15">
        <v>7.981</v>
      </c>
      <c r="D15">
        <v>50.0</v>
      </c>
    </row>
    <row r="16">
      <c r="A16">
        <v>15.0</v>
      </c>
      <c r="B16">
        <v>2000.0</v>
      </c>
      <c r="C16">
        <v>7.981</v>
      </c>
      <c r="D16">
        <v>-40.0</v>
      </c>
    </row>
    <row r="17">
      <c r="A17">
        <v>16.0</v>
      </c>
      <c r="B17">
        <v>1500.0</v>
      </c>
      <c r="C17">
        <v>7.981</v>
      </c>
      <c r="D17">
        <v>-40.0</v>
      </c>
    </row>
    <row r="18">
      <c r="A18">
        <v>17.0</v>
      </c>
      <c r="B18">
        <v>2500.0</v>
      </c>
      <c r="C18">
        <v>7.981</v>
      </c>
      <c r="D18">
        <v>-20.0</v>
      </c>
    </row>
    <row r="19">
      <c r="A19">
        <v>18.0</v>
      </c>
      <c r="B19">
        <v>1700.0</v>
      </c>
      <c r="C19">
        <v>7.981</v>
      </c>
      <c r="D19">
        <v>20.0</v>
      </c>
    </row>
    <row r="20">
      <c r="A20">
        <v>19.0</v>
      </c>
      <c r="B20">
        <v>1200.0</v>
      </c>
      <c r="C20">
        <v>7.981</v>
      </c>
      <c r="D20">
        <v>40.0</v>
      </c>
    </row>
    <row r="21">
      <c r="A21">
        <v>20.0</v>
      </c>
      <c r="B21">
        <v>1100.0</v>
      </c>
      <c r="C21">
        <v>7.981</v>
      </c>
      <c r="D21">
        <v>50.0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>
      <c r="A1" s="4" t="s">
        <v>13</v>
      </c>
    </row>
    <row r="2">
      <c r="A2" t="s">
        <v>14</v>
      </c>
      <c r="B2" t="s">
        <v>5</v>
      </c>
    </row>
    <row r="3">
      <c r="A3">
        <v>0.0</v>
      </c>
      <c r="B3">
        <v>0.0018</v>
      </c>
    </row>
    <row r="4">
      <c r="A4">
        <v>10.0</v>
      </c>
      <c r="B4">
        <v>0.003</v>
      </c>
    </row>
    <row r="5">
      <c r="A5">
        <v>5.0</v>
      </c>
      <c r="B5">
        <v>0.0024</v>
      </c>
    </row>
    <row r="6">
      <c r="A6">
        <v>20.0</v>
      </c>
      <c r="B6">
        <v>0.006</v>
      </c>
    </row>
    <row r="7">
      <c r="A7">
        <v>30.0</v>
      </c>
      <c r="B7">
        <v>0.009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4"/>
  <sheetViews>
    <sheetView workbookViewId="0"/>
  </sheetViews>
  <sheetFormatPr defaultRowHeight="15"/>
  <sheetData>
    <row r="1">
      <c r="A1" s="4" t="s">
        <v>15</v>
      </c>
    </row>
    <row r="2">
      <c r="A2" t="s">
        <v>16</v>
      </c>
    </row>
    <row r="4">
      <c r="A4" t="s">
        <v>9</v>
      </c>
      <c r="B4" t="s">
        <v>10</v>
      </c>
      <c r="C4" t="s">
        <v>11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  <c r="I4" t="s">
        <v>22</v>
      </c>
      <c r="J4" t="s">
        <v>23</v>
      </c>
      <c r="K4" t="s">
        <v>24</v>
      </c>
      <c r="M4" t="s">
        <v>25</v>
      </c>
    </row>
    <row r="5">
      <c r="A5">
        <f t="shared" ref="A5:A24" si="0">Segments!A2</f>
        <v>1.0</v>
      </c>
      <c r="B5">
        <f t="shared" ref="B5:B24" si="1">Segments!B2</f>
        <v>1800.0</v>
      </c>
      <c r="C5">
        <f t="shared" ref="C5:C24" si="2">Segments!C2</f>
        <v>10.02</v>
      </c>
      <c r="D5" s="3">
        <f t="shared" ref="D5:D24" si="3">FlowRate*5.615/86400/(PI()*(C5/12)^2/4)</f>
        <v>1.42414572923772</v>
      </c>
      <c r="E5">
        <f t="shared" ref="E5:E24" si="4">1488*Density*D5*(C5/12)/Viscosity</f>
        <v>20840.454897811993</v>
      </c>
      <c r="F5">
        <f t="shared" ref="F5:F18" si="5">0.25/LOG10(Roughness/(3.7*C5)+5.74/E5^0.9)^2</f>
        <v>0.027003882396715664</v>
      </c>
      <c r="G5">
        <f t="shared" ref="G5:G13" si="7">F5*(B5/(C5/12))*Density*D5^2/(2*32.174)/144</f>
        <v>0.6753041608223342</v>
      </c>
      <c r="H5">
        <f t="shared" ref="H5:H24" si="9">Density*Segments!D2/144*6.894757</f>
        <v>-50.75307236111111</v>
      </c>
      <c r="I5">
        <f t="shared" ref="I5:I24" si="10">G5+H5</f>
        <v>-50.07776820028877</v>
      </c>
      <c r="J5">
        <f>InletPressure-I5</f>
        <v>1000.0777682002888</v>
      </c>
      <c r="K5">
        <f t="shared" ref="K5:K24" si="12">I5/B5</f>
        <v>-0.02782098233349376</v>
      </c>
      <c r="M5">
        <f t="shared" ref="M5:M24" si="13">0.316/E5^0.25</f>
        <v>0.026300274664653924</v>
      </c>
    </row>
    <row r="6">
      <c r="A6">
        <f t="shared" si="0"/>
        <v>2.0</v>
      </c>
      <c r="B6">
        <f t="shared" si="1"/>
        <v>2000.0</v>
      </c>
      <c r="C6">
        <f t="shared" si="2"/>
        <v>10.02</v>
      </c>
      <c r="D6" s="3">
        <f t="shared" si="3"/>
        <v>1.42414572923772</v>
      </c>
      <c r="E6">
        <f t="shared" si="4"/>
        <v>20840.454897811993</v>
      </c>
      <c r="F6">
        <f t="shared" si="5"/>
        <v>0.027003882396715664</v>
      </c>
      <c r="G6">
        <f t="shared" si="7"/>
        <v>0.7503379564692604</v>
      </c>
      <c r="H6">
        <f t="shared" si="9"/>
        <v>152.25921708333334</v>
      </c>
      <c r="I6">
        <f t="shared" si="10"/>
        <v>153.0095550398026</v>
      </c>
      <c r="J6">
        <f t="shared" ref="J6:J24" si="11">J5-I6</f>
        <v>847.0682131604863</v>
      </c>
      <c r="K6">
        <f t="shared" si="12"/>
        <v>0.0765047775199013</v>
      </c>
      <c r="M6">
        <f t="shared" si="13"/>
        <v>0.026300274664653924</v>
      </c>
    </row>
    <row r="7">
      <c r="A7">
        <f t="shared" si="0"/>
        <v>3.0</v>
      </c>
      <c r="B7">
        <f t="shared" si="1"/>
        <v>900.0</v>
      </c>
      <c r="C7">
        <f t="shared" si="2"/>
        <v>10.02</v>
      </c>
      <c r="D7" s="3">
        <f t="shared" si="3"/>
        <v>1.42414572923772</v>
      </c>
      <c r="E7">
        <f t="shared" si="4"/>
        <v>20840.454897811993</v>
      </c>
      <c r="F7">
        <f t="shared" si="5"/>
        <v>0.027003882396715664</v>
      </c>
      <c r="G7">
        <f t="shared" si="7"/>
        <v>0.3376520804111671</v>
      </c>
      <c r="H7">
        <f t="shared" si="9"/>
        <v>-76.12960854166667</v>
      </c>
      <c r="I7">
        <f t="shared" si="10"/>
        <v>-75.79195646125551</v>
      </c>
      <c r="J7">
        <f t="shared" si="11"/>
        <v>922.8601696217418</v>
      </c>
      <c r="K7">
        <f t="shared" si="12"/>
        <v>-0.08421328495695056</v>
      </c>
      <c r="M7">
        <f t="shared" si="13"/>
        <v>0.026300274664653924</v>
      </c>
    </row>
    <row r="8">
      <c r="A8">
        <f t="shared" si="0"/>
        <v>4.0</v>
      </c>
      <c r="B8">
        <f t="shared" si="1"/>
        <v>2500.0</v>
      </c>
      <c r="C8">
        <f t="shared" si="2"/>
        <v>10.02</v>
      </c>
      <c r="D8" s="3">
        <f t="shared" si="3"/>
        <v>1.42414572923772</v>
      </c>
      <c r="E8">
        <f t="shared" si="4"/>
        <v>20840.454897811993</v>
      </c>
      <c r="F8">
        <f t="shared" si="5"/>
        <v>0.027003882396715664</v>
      </c>
      <c r="G8">
        <f t="shared" si="7"/>
        <v>0.9379224455865756</v>
      </c>
      <c r="H8">
        <f t="shared" si="9"/>
        <v>-76.12960854166667</v>
      </c>
      <c r="I8">
        <f t="shared" si="10"/>
        <v>-75.19168609608009</v>
      </c>
      <c r="J8">
        <f t="shared" si="11"/>
        <v>998.0518557178218</v>
      </c>
      <c r="K8">
        <f t="shared" si="12"/>
        <v>-0.030076674438432035</v>
      </c>
      <c r="M8">
        <f t="shared" si="13"/>
        <v>0.026300274664653924</v>
      </c>
    </row>
    <row r="9">
      <c r="A9">
        <f t="shared" si="0"/>
        <v>5.0</v>
      </c>
      <c r="B9">
        <f t="shared" si="1"/>
        <v>1900.0</v>
      </c>
      <c r="C9">
        <f t="shared" si="2"/>
        <v>10.02</v>
      </c>
      <c r="D9" s="3">
        <f t="shared" si="3"/>
        <v>1.42414572923772</v>
      </c>
      <c r="E9">
        <f t="shared" si="4"/>
        <v>20840.454897811993</v>
      </c>
      <c r="F9">
        <f t="shared" si="5"/>
        <v>0.027003882396715664</v>
      </c>
      <c r="G9">
        <f t="shared" si="7"/>
        <v>0.7128210586457975</v>
      </c>
      <c r="H9">
        <f t="shared" si="9"/>
        <v>126.88268090277779</v>
      </c>
      <c r="I9">
        <f t="shared" si="10"/>
        <v>127.5955019614236</v>
      </c>
      <c r="J9">
        <f t="shared" si="11"/>
        <v>870.4563537563982</v>
      </c>
      <c r="K9">
        <f t="shared" si="12"/>
        <v>0.06715552734811768</v>
      </c>
      <c r="M9">
        <f t="shared" si="13"/>
        <v>0.026300274664653924</v>
      </c>
    </row>
    <row r="10">
      <c r="A10">
        <f t="shared" si="0"/>
        <v>6.0</v>
      </c>
      <c r="B10">
        <f t="shared" si="1"/>
        <v>900.0</v>
      </c>
      <c r="C10">
        <f t="shared" si="2"/>
        <v>10.02</v>
      </c>
      <c r="D10" s="3">
        <f t="shared" si="3"/>
        <v>1.42414572923772</v>
      </c>
      <c r="E10">
        <f t="shared" si="4"/>
        <v>20840.454897811993</v>
      </c>
      <c r="F10">
        <f t="shared" si="5"/>
        <v>0.027003882396715664</v>
      </c>
      <c r="G10">
        <f t="shared" si="7"/>
        <v>0.3376520804111671</v>
      </c>
      <c r="H10">
        <f t="shared" si="9"/>
        <v>101.50614472222222</v>
      </c>
      <c r="I10">
        <f t="shared" si="10"/>
        <v>101.84379680263338</v>
      </c>
      <c r="J10">
        <f t="shared" si="11"/>
        <v>768.6125569537649</v>
      </c>
      <c r="K10">
        <f t="shared" si="12"/>
        <v>0.1131597742251482</v>
      </c>
      <c r="M10">
        <f t="shared" si="13"/>
        <v>0.026300274664653924</v>
      </c>
    </row>
    <row r="11">
      <c r="A11">
        <f t="shared" si="0"/>
        <v>7.0</v>
      </c>
      <c r="B11">
        <f t="shared" si="1"/>
        <v>1400.0</v>
      </c>
      <c r="C11">
        <f t="shared" si="2"/>
        <v>10.02</v>
      </c>
      <c r="D11" s="3">
        <f t="shared" si="3"/>
        <v>1.42414572923772</v>
      </c>
      <c r="E11">
        <f t="shared" si="4"/>
        <v>20840.454897811993</v>
      </c>
      <c r="F11">
        <f t="shared" si="5"/>
        <v>0.027003882396715664</v>
      </c>
      <c r="G11">
        <f t="shared" si="7"/>
        <v>0.5252365695284824</v>
      </c>
      <c r="H11">
        <f t="shared" si="9"/>
        <v>-101.50614472222222</v>
      </c>
      <c r="I11">
        <f t="shared" si="10"/>
        <v>-100.98090815269373</v>
      </c>
      <c r="J11">
        <f t="shared" si="11"/>
        <v>869.5934651064586</v>
      </c>
      <c r="K11">
        <f t="shared" si="12"/>
        <v>-0.07212922010906694</v>
      </c>
      <c r="M11">
        <f t="shared" si="13"/>
        <v>0.026300274664653924</v>
      </c>
    </row>
    <row r="12">
      <c r="A12">
        <f t="shared" si="0"/>
        <v>8.0</v>
      </c>
      <c r="B12">
        <f t="shared" si="1"/>
        <v>1000.0</v>
      </c>
      <c r="C12">
        <f t="shared" si="2"/>
        <v>10.02</v>
      </c>
      <c r="D12" s="3">
        <f t="shared" si="3"/>
        <v>1.42414572923772</v>
      </c>
      <c r="E12">
        <f t="shared" si="4"/>
        <v>20840.454897811993</v>
      </c>
      <c r="F12">
        <f t="shared" si="5"/>
        <v>0.027003882396715664</v>
      </c>
      <c r="G12">
        <f t="shared" si="7"/>
        <v>0.3751689782346302</v>
      </c>
      <c r="H12">
        <f t="shared" si="9"/>
        <v>50.75307236111111</v>
      </c>
      <c r="I12">
        <f t="shared" si="10"/>
        <v>51.12824133934574</v>
      </c>
      <c r="J12">
        <f t="shared" si="11"/>
        <v>818.4652237671128</v>
      </c>
      <c r="K12">
        <f t="shared" si="12"/>
        <v>0.051128241339345744</v>
      </c>
      <c r="M12">
        <f t="shared" si="13"/>
        <v>0.026300274664653924</v>
      </c>
    </row>
    <row r="13">
      <c r="A13">
        <f t="shared" si="0"/>
        <v>9.0</v>
      </c>
      <c r="B13">
        <f t="shared" si="1"/>
        <v>0.0</v>
      </c>
      <c r="C13">
        <f t="shared" si="2"/>
        <v>10.02</v>
      </c>
      <c r="D13" s="3">
        <f t="shared" si="3"/>
        <v>1.42414572923772</v>
      </c>
      <c r="E13">
        <f t="shared" si="4"/>
        <v>20840.454897811993</v>
      </c>
      <c r="F13">
        <f t="shared" si="5"/>
        <v>0.027003882396715664</v>
      </c>
      <c r="G13">
        <f t="shared" si="7"/>
        <v>0.0</v>
      </c>
      <c r="H13">
        <f t="shared" si="9"/>
        <v>50.75307236111111</v>
      </c>
      <c r="I13">
        <f t="shared" si="10"/>
        <v>50.75307236111111</v>
      </c>
      <c r="J13">
        <f t="shared" si="11"/>
        <v>767.7121514060017</v>
      </c>
      <c r="K13" t="e">
        <f t="shared" si="12"/>
        <v>#DIV/0!</v>
      </c>
      <c r="M13">
        <f t="shared" si="13"/>
        <v>0.026300274664653924</v>
      </c>
    </row>
    <row r="14">
      <c r="A14">
        <f t="shared" si="0"/>
        <v>10.0</v>
      </c>
      <c r="B14">
        <f t="shared" si="1"/>
        <v>1000.0</v>
      </c>
      <c r="C14">
        <f t="shared" si="2"/>
        <v>10.02</v>
      </c>
      <c r="D14" s="3">
        <f t="shared" si="3"/>
        <v>1.42414572923772</v>
      </c>
      <c r="E14">
        <f t="shared" si="4"/>
        <v>20840.454897811993</v>
      </c>
      <c r="F14">
        <f t="shared" si="5"/>
        <v>0.027003882396715664</v>
      </c>
      <c r="G14">
        <v>0.35</v>
      </c>
      <c r="H14">
        <f t="shared" si="9"/>
        <v>-25.376536180555554</v>
      </c>
      <c r="I14">
        <f t="shared" si="10"/>
        <v>-25.026536180555553</v>
      </c>
      <c r="J14">
        <f t="shared" si="11"/>
        <v>792.7386875865573</v>
      </c>
      <c r="K14">
        <f t="shared" si="12"/>
        <v>-0.02502653618055555</v>
      </c>
      <c r="M14">
        <f t="shared" si="13"/>
        <v>0.026300274664653924</v>
      </c>
    </row>
    <row r="15">
      <c r="A15">
        <f t="shared" si="0"/>
        <v>11.0</v>
      </c>
      <c r="B15">
        <f t="shared" si="1"/>
        <v>1000.0</v>
      </c>
      <c r="C15">
        <f t="shared" si="2"/>
        <v>7.981</v>
      </c>
      <c r="D15" s="3">
        <f t="shared" si="3"/>
        <v>2.2447875927128518</v>
      </c>
      <c r="E15">
        <f t="shared" si="4"/>
        <v>26164.811186076447</v>
      </c>
      <c r="F15">
        <f t="shared" si="5"/>
        <v>0.026156422324096006</v>
      </c>
      <c r="G15">
        <f t="shared" ref="G15:G24" si="8">F15*(B15/(C15/12))*Density*D15^2/(2*32.174)/144</f>
        <v>1.1335250106768893</v>
      </c>
      <c r="H15">
        <f t="shared" si="9"/>
        <v>101.50614472222222</v>
      </c>
      <c r="I15">
        <f t="shared" si="10"/>
        <v>102.63966973289911</v>
      </c>
      <c r="J15">
        <f t="shared" si="11"/>
        <v>690.0990178536581</v>
      </c>
      <c r="K15">
        <f t="shared" si="12"/>
        <v>0.1026396697328991</v>
      </c>
      <c r="M15">
        <f t="shared" si="13"/>
        <v>0.02484606867866154</v>
      </c>
    </row>
    <row r="16">
      <c r="A16">
        <f t="shared" si="0"/>
        <v>12.0</v>
      </c>
      <c r="B16">
        <f t="shared" si="1"/>
        <v>2100.0</v>
      </c>
      <c r="C16">
        <f t="shared" si="2"/>
        <v>7.981</v>
      </c>
      <c r="D16" s="3">
        <f t="shared" si="3"/>
        <v>2.2447875927128518</v>
      </c>
      <c r="E16">
        <f t="shared" si="4"/>
        <v>26164.811186076447</v>
      </c>
      <c r="F16">
        <f t="shared" si="5"/>
        <v>0.026156422324096006</v>
      </c>
      <c r="G16">
        <f t="shared" si="8"/>
        <v>2.380402522421467</v>
      </c>
      <c r="H16">
        <f t="shared" si="9"/>
        <v>-101.50614472222222</v>
      </c>
      <c r="I16">
        <f t="shared" si="10"/>
        <v>-99.12574219980075</v>
      </c>
      <c r="J16">
        <f t="shared" si="11"/>
        <v>789.2247600534588</v>
      </c>
      <c r="K16">
        <f t="shared" si="12"/>
        <v>-0.0472027343808575</v>
      </c>
      <c r="M16">
        <f t="shared" si="13"/>
        <v>0.02484606867866154</v>
      </c>
    </row>
    <row r="17">
      <c r="A17">
        <f t="shared" si="0"/>
        <v>13.0</v>
      </c>
      <c r="B17">
        <f t="shared" si="1"/>
        <v>1100.0</v>
      </c>
      <c r="C17">
        <f t="shared" si="2"/>
        <v>7.981</v>
      </c>
      <c r="D17" s="3">
        <f t="shared" si="3"/>
        <v>2.2447875927128518</v>
      </c>
      <c r="E17">
        <f t="shared" si="4"/>
        <v>26164.811186076447</v>
      </c>
      <c r="F17">
        <f t="shared" si="5"/>
        <v>0.026156422324096006</v>
      </c>
      <c r="G17">
        <f t="shared" si="8"/>
        <v>1.246877511744578</v>
      </c>
      <c r="H17">
        <f t="shared" si="9"/>
        <v>-25.376536180555554</v>
      </c>
      <c r="I17">
        <f t="shared" si="10"/>
        <v>-24.129658668810976</v>
      </c>
      <c r="J17">
        <f t="shared" si="11"/>
        <v>813.3544187222698</v>
      </c>
      <c r="K17">
        <f t="shared" si="12"/>
        <v>-0.021936053335282705</v>
      </c>
      <c r="M17">
        <f t="shared" si="13"/>
        <v>0.02484606867866154</v>
      </c>
    </row>
    <row r="18">
      <c r="A18">
        <f t="shared" si="0"/>
        <v>14.0</v>
      </c>
      <c r="B18">
        <f t="shared" si="1"/>
        <v>900.0</v>
      </c>
      <c r="C18">
        <f t="shared" si="2"/>
        <v>7.981</v>
      </c>
      <c r="D18" s="3">
        <f t="shared" si="3"/>
        <v>2.2447875927128518</v>
      </c>
      <c r="E18">
        <f t="shared" si="4"/>
        <v>26164.811186076447</v>
      </c>
      <c r="F18">
        <f t="shared" si="5"/>
        <v>0.026156422324096006</v>
      </c>
      <c r="G18">
        <f t="shared" si="8"/>
        <v>1.0201725096092003</v>
      </c>
      <c r="H18">
        <f t="shared" si="9"/>
        <v>126.88268090277779</v>
      </c>
      <c r="I18">
        <f t="shared" si="10"/>
        <v>127.90285341238699</v>
      </c>
      <c r="J18">
        <f t="shared" si="11"/>
        <v>685.4515653098828</v>
      </c>
      <c r="K18">
        <f t="shared" si="12"/>
        <v>0.14211428156931888</v>
      </c>
      <c r="M18">
        <f t="shared" si="13"/>
        <v>0.02484606867866154</v>
      </c>
    </row>
    <row r="19">
      <c r="A19">
        <f t="shared" si="0"/>
        <v>15.0</v>
      </c>
      <c r="B19">
        <f t="shared" si="1"/>
        <v>2000.0</v>
      </c>
      <c r="C19">
        <f t="shared" si="2"/>
        <v>7.981</v>
      </c>
      <c r="D19" s="3">
        <f t="shared" si="3"/>
        <v>2.2447875927128518</v>
      </c>
      <c r="E19">
        <f t="shared" si="4"/>
        <v>26164.811186076447</v>
      </c>
      <c r="F19">
        <f>0.25/LOG10(Roughness/(3.7*$C$5)+5.74/E19^0.9)^2</f>
        <v>0.025775540370325947</v>
      </c>
      <c r="G19">
        <f t="shared" si="8"/>
        <v>2.2340379208941443</v>
      </c>
      <c r="H19">
        <f t="shared" si="9"/>
        <v>-101.50614472222222</v>
      </c>
      <c r="I19">
        <f t="shared" si="10"/>
        <v>-99.27210680132808</v>
      </c>
      <c r="J19">
        <f t="shared" si="11"/>
        <v>784.7236721112108</v>
      </c>
      <c r="K19">
        <f t="shared" si="12"/>
        <v>-0.049636053400664036</v>
      </c>
      <c r="M19">
        <f t="shared" si="13"/>
        <v>0.02484606867866154</v>
      </c>
    </row>
    <row r="20">
      <c r="A20">
        <f t="shared" si="0"/>
        <v>16.0</v>
      </c>
      <c r="B20">
        <f t="shared" si="1"/>
        <v>1500.0</v>
      </c>
      <c r="C20">
        <f t="shared" si="2"/>
        <v>7.981</v>
      </c>
      <c r="D20" s="3">
        <f t="shared" si="3"/>
        <v>2.2447875927128518</v>
      </c>
      <c r="E20">
        <f t="shared" si="4"/>
        <v>26164.811186076447</v>
      </c>
      <c r="F20">
        <f t="shared" ref="F20:F24" si="6">0.25/LOG10(Roughness/(3.7*C20)+5.74/E20^0.9)^2</f>
        <v>0.026156422324096006</v>
      </c>
      <c r="G20">
        <f t="shared" si="8"/>
        <v>1.700287516015334</v>
      </c>
      <c r="H20">
        <f t="shared" si="9"/>
        <v>-101.50614472222222</v>
      </c>
      <c r="I20">
        <f t="shared" si="10"/>
        <v>-99.80585720620688</v>
      </c>
      <c r="J20">
        <f t="shared" si="11"/>
        <v>884.5295293174177</v>
      </c>
      <c r="K20">
        <f t="shared" si="12"/>
        <v>-0.06653723813747126</v>
      </c>
      <c r="M20">
        <f t="shared" si="13"/>
        <v>0.02484606867866154</v>
      </c>
    </row>
    <row r="21">
      <c r="A21">
        <f t="shared" si="0"/>
        <v>17.0</v>
      </c>
      <c r="B21">
        <f t="shared" si="1"/>
        <v>2500.0</v>
      </c>
      <c r="C21">
        <f t="shared" si="2"/>
        <v>7.981</v>
      </c>
      <c r="D21" s="3">
        <f t="shared" si="3"/>
        <v>2.2447875927128518</v>
      </c>
      <c r="E21">
        <f t="shared" si="4"/>
        <v>26164.811186076447</v>
      </c>
      <c r="F21">
        <f t="shared" si="6"/>
        <v>0.026156422324096006</v>
      </c>
      <c r="G21">
        <f t="shared" si="8"/>
        <v>2.8338125266922227</v>
      </c>
      <c r="H21">
        <f t="shared" si="9"/>
        <v>-50.75307236111111</v>
      </c>
      <c r="I21">
        <f t="shared" si="10"/>
        <v>-47.91925983441889</v>
      </c>
      <c r="J21">
        <f t="shared" si="11"/>
        <v>932.4487891518365</v>
      </c>
      <c r="K21">
        <f t="shared" si="12"/>
        <v>-0.019167703933767554</v>
      </c>
      <c r="M21">
        <f t="shared" si="13"/>
        <v>0.02484606867866154</v>
      </c>
    </row>
    <row r="22">
      <c r="A22">
        <f t="shared" si="0"/>
        <v>18.0</v>
      </c>
      <c r="B22">
        <f t="shared" si="1"/>
        <v>1700.0</v>
      </c>
      <c r="C22">
        <f t="shared" si="2"/>
        <v>7.981</v>
      </c>
      <c r="D22" s="3">
        <f t="shared" si="3"/>
        <v>2.2447875927128518</v>
      </c>
      <c r="E22">
        <f t="shared" si="4"/>
        <v>26164.811186076447</v>
      </c>
      <c r="F22">
        <f t="shared" si="6"/>
        <v>0.026156422324096006</v>
      </c>
      <c r="G22">
        <f t="shared" si="8"/>
        <v>1.926992518150712</v>
      </c>
      <c r="H22">
        <f t="shared" si="9"/>
        <v>50.75307236111111</v>
      </c>
      <c r="I22">
        <f t="shared" si="10"/>
        <v>52.68006487926182</v>
      </c>
      <c r="J22">
        <f t="shared" si="11"/>
        <v>879.7687242725747</v>
      </c>
      <c r="K22">
        <f t="shared" si="12"/>
        <v>0.030988273458389306</v>
      </c>
      <c r="M22">
        <f t="shared" si="13"/>
        <v>0.02484606867866154</v>
      </c>
    </row>
    <row r="23">
      <c r="A23">
        <f t="shared" si="0"/>
        <v>19.0</v>
      </c>
      <c r="B23">
        <f t="shared" si="1"/>
        <v>1200.0</v>
      </c>
      <c r="C23">
        <f t="shared" si="2"/>
        <v>7.981</v>
      </c>
      <c r="D23" s="3">
        <f t="shared" si="3"/>
        <v>2.2447875927128518</v>
      </c>
      <c r="E23">
        <f t="shared" si="4"/>
        <v>26164.811186076447</v>
      </c>
      <c r="F23">
        <f t="shared" si="6"/>
        <v>0.026156422324096006</v>
      </c>
      <c r="G23">
        <f t="shared" si="8"/>
        <v>1.3602300128122669</v>
      </c>
      <c r="H23">
        <f t="shared" si="9"/>
        <v>101.50614472222222</v>
      </c>
      <c r="I23">
        <f t="shared" si="10"/>
        <v>102.86637473503448</v>
      </c>
      <c r="J23">
        <f t="shared" si="11"/>
        <v>776.9023495375402</v>
      </c>
      <c r="K23">
        <f t="shared" si="12"/>
        <v>0.08572197894586207</v>
      </c>
      <c r="M23">
        <f t="shared" si="13"/>
        <v>0.02484606867866154</v>
      </c>
    </row>
    <row r="24">
      <c r="A24">
        <f t="shared" si="0"/>
        <v>20.0</v>
      </c>
      <c r="B24">
        <f t="shared" si="1"/>
        <v>1100.0</v>
      </c>
      <c r="C24">
        <f t="shared" si="2"/>
        <v>7.981</v>
      </c>
      <c r="D24" s="3">
        <f t="shared" si="3"/>
        <v>2.2447875927128518</v>
      </c>
      <c r="E24">
        <f t="shared" si="4"/>
        <v>26164.811186076447</v>
      </c>
      <c r="F24">
        <f t="shared" si="6"/>
        <v>0.026156422324096006</v>
      </c>
      <c r="G24">
        <f t="shared" si="8"/>
        <v>1.246877511744578</v>
      </c>
      <c r="H24">
        <f t="shared" si="9"/>
        <v>126.88268090277779</v>
      </c>
      <c r="I24">
        <f t="shared" si="10"/>
        <v>128.12955841452236</v>
      </c>
      <c r="J24">
        <f t="shared" si="11"/>
        <v>648.7727911230179</v>
      </c>
      <c r="K24">
        <f t="shared" si="12"/>
        <v>0.11648141674047488</v>
      </c>
      <c r="M24">
        <f t="shared" si="13"/>
        <v>0.02484606867866154</v>
      </c>
    </row>
  </sheetData>
  <conditionalFormatting sqref="D5:D24">
    <cfRule type="cellIs" dxfId="0" priority="1" operator="greaterThan">
      <formula>10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>
      <c r="A1" s="4" t="s">
        <v>26</v>
      </c>
    </row>
    <row r="3">
      <c r="A3" t="s">
        <v>7</v>
      </c>
      <c r="B3" t="str">
        <f>Inputs!B9</f>
        <v>Carbon steel</v>
      </c>
    </row>
    <row r="4">
      <c r="A4" t="s">
        <v>27</v>
      </c>
      <c r="B4">
        <f>SUM(Calc!I5:I24)</f>
        <v>301.22720887698193</v>
      </c>
    </row>
    <row r="5">
      <c r="A5" t="s">
        <v>23</v>
      </c>
      <c r="B5">
        <f>Calc!J24</f>
        <v>648.7727911230179</v>
      </c>
    </row>
    <row r="6">
      <c r="A6" t="s">
        <v>28</v>
      </c>
      <c r="B6">
        <f>MAX(Calc!D5:D24)</f>
        <v>2.2447875927128518</v>
      </c>
    </row>
    <row r="7">
      <c r="A7" t="s">
        <v>29</v>
      </c>
      <c r="B7">
        <f>IFERROR(AVERAGE(Calc!K5:K24),0)</f>
        <v>0.0</v>
      </c>
    </row>
  </sheetData>
  <pageMargins left="0.7" right="0.7" top="0.75" bottom="0.75" header="0.3" footer="0.3"/>
  <drawing r:id="rId1"/>
</worksheet>
</file>

<file path=docProps/core.xml><?xml version="1.0" encoding="utf-8"?>
<cp:coreProperties xmlns:cp="http://schemas.openxmlformats.org/package/2006/metadata/core-properties" xmlns:dc="http://purl.org/dc/elements/1.1/">
  <dc:title>Synthetic test workbook</dc:title>
  <dc:creator>Fixture generator</dc:creator>
</cp:coreProperties>
</file>