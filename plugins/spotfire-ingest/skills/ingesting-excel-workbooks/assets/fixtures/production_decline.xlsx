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Summary" sheetId="1" r:id="rId1"/>
    <sheet name="Well A" sheetId="2" r:id="rId2"/>
    <sheet name="Well B" sheetId="3" r:id="rId3"/>
    <sheet name="Well C" sheetId="4" r:id="rId4"/>
    <sheet name="Well D" sheetId="5" r:id="rId5"/>
  </sheets>
  <calcPr calcId="191029"/>
</workbook>
</file>

<file path=xl/sharedStrings.xml><?xml version="1.0" encoding="utf-8"?>
<sst xmlns="http://schemas.openxmlformats.org/spreadsheetml/2006/main" count="19" uniqueCount="19">
  <si>
    <t>Field forecast summary</t>
  </si>
  <si>
    <t>Well</t>
  </si>
  <si>
    <t>EUR 36 months (bbl)</t>
  </si>
  <si>
    <t>Initial rate (bbl/d)</t>
  </si>
  <si>
    <t>Well A</t>
  </si>
  <si>
    <t>Well B</t>
  </si>
  <si>
    <t>Well C</t>
  </si>
  <si>
    <t>Well D</t>
  </si>
  <si>
    <t>Total EUR (bbl)</t>
  </si>
  <si>
    <t>Well forecast</t>
  </si>
  <si>
    <t>Initial rate qi (bbl/d)</t>
  </si>
  <si>
    <t>Initial decline Di (1/yr)</t>
  </si>
  <si>
    <t>b factor</t>
  </si>
  <si>
    <t>First production date</t>
  </si>
  <si>
    <t>Month</t>
  </si>
  <si>
    <t>Date</t>
  </si>
  <si>
    <t>Rate (bbl/d)</t>
  </si>
  <si>
    <t>Monthly volume (bbl)</t>
  </si>
  <si>
    <t>Cumulative (bbl)</t>
  </si>
</sst>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0" fontId="0" fillId="0" borderId="0" xfId="0" applyNumberFormat="1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1">
    <dxf>
      <font>
        <color rgb="FF9C0006"/>
      </font>
    </dxf>
  </d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p>
            <a:r>
              <a:t>EUR by well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Summary!$B$3</c:f>
            </c:strRef>
          </c:tx>
          <c:cat>
            <c:numRef>
              <c:f>Summary!$A$4:$A$7</c:f>
            </c:numRef>
          </c:cat>
          <c:val>
            <c:numRef>
              <c:f>Summary!$B$4:$B$7</c:f>
            </c:numRef>
          </c:val>
        </c:ser>
        <c:axId val="1"/>
        <c:axId val="2"/>
      </c:barChart>
      <c:catAx>
        <c:axId val="1"/>
        <c:scaling>
          <c:orientation val="minMax"/>
        </c:scaling>
        <c:delete val="0"/>
        <c:axPos val="b"/>
        <c:crossAx val="2"/>
      </c:catAx>
      <c:valAx>
        <c:axId val="2"/>
        <c:scaling>
          <c:orientation val="minMax"/>
        </c:scaling>
        <c:delete val="0"/>
        <c:axPos val="l"/>
        <c:crossAx val="1"/>
      </c:valAx>
    </c:plotArea>
    <c:plotVisOnly val="1"/>
  </c:chart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xdr:twoCellAnchor>
    <xdr:from>
      <xdr:col>4</xdr:col>
      <xdr:colOff>0</xdr:colOff>
      <xdr:row>2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>
      <c r="A1" s="4" t="s">
        <v>0</v>
      </c>
    </row>
    <row r="3">
      <c r="A3" t="s">
        <v>1</v>
      </c>
      <c r="B3" t="s">
        <v>2</v>
      </c>
      <c r="C3" t="s">
        <v>3</v>
      </c>
    </row>
    <row r="4">
      <c r="A4" t="s">
        <v>4</v>
      </c>
      <c r="B4">
        <f t="shared" ref="B4:B7" si="21">INDIRECT("'"&amp;A4&amp;"'!E44")</f>
        <v>431072.6652980666</v>
      </c>
      <c r="C4">
        <f t="shared" ref="C4:C7" si="22">INDIRECT("'"&amp;A4&amp;"'!B2")</f>
        <v>850.0</v>
      </c>
    </row>
    <row r="5">
      <c r="A5" t="s">
        <v>5</v>
      </c>
      <c r="B5">
        <f t="shared" si="21"/>
        <v>424634.1310519963</v>
      </c>
      <c r="C5">
        <f t="shared" si="22"/>
        <v>1200.0</v>
      </c>
    </row>
    <row r="6">
      <c r="A6" t="s">
        <v>6</v>
      </c>
      <c r="B6">
        <f t="shared" si="21"/>
        <v>293007.8624893429</v>
      </c>
      <c r="C6">
        <f t="shared" si="22"/>
        <v>640.0</v>
      </c>
    </row>
    <row r="7">
      <c r="A7" t="s">
        <v>7</v>
      </c>
      <c r="B7">
        <f t="shared" si="21"/>
        <v>533445.5670795658</v>
      </c>
      <c r="C7">
        <f t="shared" si="22"/>
        <v>980.0</v>
      </c>
    </row>
    <row r="9">
      <c r="A9" t="s">
        <v>8</v>
      </c>
      <c r="B9">
        <f>SUM(B4:B7)</f>
        <v>1682160.2259189717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4"/>
  <sheetViews>
    <sheetView workbookViewId="0"/>
  </sheetViews>
  <sheetFormatPr defaultRowHeight="15"/>
  <sheetData>
    <row r="1">
      <c r="A1" s="4" t="s">
        <v>9</v>
      </c>
    </row>
    <row r="2">
      <c r="A2" t="s">
        <v>10</v>
      </c>
      <c r="B2">
        <v>850.0</v>
      </c>
    </row>
    <row r="3">
      <c r="A3" t="s">
        <v>11</v>
      </c>
      <c r="B3">
        <v>0.9</v>
      </c>
    </row>
    <row r="4">
      <c r="A4" t="s">
        <v>12</v>
      </c>
      <c r="B4">
        <v>0.8</v>
      </c>
    </row>
    <row r="5">
      <c r="A5" t="s">
        <v>13</v>
      </c>
      <c r="B5" s="1">
        <v>45658.0</v>
      </c>
    </row>
    <row r="8">
      <c r="A8" t="s">
        <v>14</v>
      </c>
      <c r="B8" t="s">
        <v>15</v>
      </c>
      <c r="C8" t="s">
        <v>16</v>
      </c>
      <c r="D8" t="s">
        <v>17</v>
      </c>
      <c r="E8" t="s">
        <v>18</v>
      </c>
      <c r="G8" t="s">
        <v>12</v>
      </c>
      <c r="H8" t="s">
        <v>2</v>
      </c>
    </row>
    <row r="9">
      <c r="A9">
        <v>1.0</v>
      </c>
      <c r="B9" s="1">
        <f t="shared" ref="B9:B44" si="1">EDATE($B$5,A9-1)</f>
        <v>45658.0</v>
      </c>
      <c r="C9">
        <f t="shared" ref="C9:C44" si="2">$B$2/(1+$B$4*$B$3/12*(A9-0.5))^(1/$B$4)</f>
        <v>819.1668987605519</v>
      </c>
      <c r="D9">
        <f t="shared" ref="D9:D44" si="3">C9*30.4375</f>
        <v>24933.3924810243</v>
      </c>
      <c r="E9">
        <f>D9</f>
        <v>24933.3924810243</v>
      </c>
      <c r="H9">
        <f>E44</f>
        <v>431072.6652980666</v>
      </c>
    </row>
    <row r="10">
      <c r="A10">
        <f t="shared" ref="A10:A44" si="0">A9+1</f>
        <v>2.0</v>
      </c>
      <c r="B10" s="1">
        <f t="shared" si="1"/>
        <v>45689.0</v>
      </c>
      <c r="C10">
        <f t="shared" si="2"/>
        <v>763.1955040394165</v>
      </c>
      <c r="D10">
        <f t="shared" si="3"/>
        <v>23229.76315419974</v>
      </c>
      <c r="E10">
        <f t="shared" ref="E10:E44" si="4">E9+D10</f>
        <v>48163.155635224044</v>
      </c>
      <c r="G10">
        <v>0.5</v>
      </c>
      <c r="H10">
        <f t="dataTable" ref="H10:H14" dt2D="0" dtr="0" r1="B4"/>
        <v>396260.5257708602</v>
      </c>
    </row>
    <row r="11">
      <c r="A11">
        <f t="shared" si="0"/>
        <v>3.0</v>
      </c>
      <c r="B11" s="1">
        <f t="shared" si="1"/>
        <v>45717.0</v>
      </c>
      <c r="C11">
        <f t="shared" si="2"/>
        <v>713.7508283396128</v>
      </c>
      <c r="D11">
        <f t="shared" si="3"/>
        <v>21724.790837586963</v>
      </c>
      <c r="E11">
        <f t="shared" si="4"/>
        <v>69887.946472811</v>
      </c>
      <c r="G11">
        <v>0.7</v>
      </c>
      <c r="H11">
        <v>420131.1612597139</v>
      </c>
    </row>
    <row r="12">
      <c r="A12">
        <f t="shared" si="0"/>
        <v>4.0</v>
      </c>
      <c r="B12" s="1">
        <f t="shared" si="1"/>
        <v>45748.0</v>
      </c>
      <c r="C12">
        <f t="shared" si="2"/>
        <v>669.787769304755</v>
      </c>
      <c r="D12">
        <f t="shared" si="3"/>
        <v>20386.66522821348</v>
      </c>
      <c r="E12">
        <f t="shared" si="4"/>
        <v>90274.61170102448</v>
      </c>
      <c r="G12">
        <v>0.9</v>
      </c>
      <c r="H12">
        <v>441427.61615291075</v>
      </c>
    </row>
    <row r="13">
      <c r="A13">
        <f t="shared" si="0"/>
        <v>5.0</v>
      </c>
      <c r="B13" s="1">
        <f t="shared" si="1"/>
        <v>45778.0</v>
      </c>
      <c r="C13">
        <f t="shared" si="2"/>
        <v>630.4697799079944</v>
      </c>
      <c r="D13">
        <f t="shared" si="3"/>
        <v>19189.92392594958</v>
      </c>
      <c r="E13">
        <f t="shared" si="4"/>
        <v>109464.53562697406</v>
      </c>
      <c r="G13">
        <v>1.1</v>
      </c>
      <c r="H13">
        <v>460570.2627187365</v>
      </c>
    </row>
    <row r="14">
      <c r="A14">
        <f t="shared" si="0"/>
        <v>6.0</v>
      </c>
      <c r="B14" s="1">
        <f t="shared" si="1"/>
        <v>45809.0</v>
      </c>
      <c r="C14">
        <f t="shared" si="2"/>
        <v>595.1197654092163</v>
      </c>
      <c r="D14">
        <f t="shared" si="3"/>
        <v>18113.95785964302</v>
      </c>
      <c r="E14">
        <f t="shared" si="4"/>
        <v>127578.49348661708</v>
      </c>
      <c r="G14">
        <v>1.3</v>
      </c>
      <c r="H14">
        <v>477894.3582194183</v>
      </c>
    </row>
    <row r="15">
      <c r="A15">
        <f t="shared" si="0"/>
        <v>7.0</v>
      </c>
      <c r="B15" s="1">
        <f t="shared" si="1"/>
        <v>45839.0</v>
      </c>
      <c r="C15">
        <f t="shared" si="2"/>
        <v>563.1841521761297</v>
      </c>
      <c r="D15">
        <f t="shared" si="3"/>
        <v>17141.91763186095</v>
      </c>
      <c r="E15">
        <f t="shared" si="4"/>
        <v>144720.41111847802</v>
      </c>
    </row>
    <row r="16">
      <c r="A16">
        <f t="shared" si="0"/>
        <v>8.0</v>
      </c>
      <c r="B16" s="1">
        <f t="shared" si="1"/>
        <v>45870.0</v>
      </c>
      <c r="C16">
        <f t="shared" si="2"/>
        <v>534.2061985016725</v>
      </c>
      <c r="D16">
        <f t="shared" si="3"/>
        <v>16259.901166894657</v>
      </c>
      <c r="E16">
        <f t="shared" si="4"/>
        <v>160980.31228537267</v>
      </c>
    </row>
    <row r="17">
      <c r="A17">
        <f t="shared" si="0"/>
        <v>9.0</v>
      </c>
      <c r="B17" s="1">
        <f t="shared" si="1"/>
        <v>45901.0</v>
      </c>
      <c r="C17">
        <f t="shared" si="2"/>
        <v>507.80589898449057</v>
      </c>
      <c r="D17">
        <f t="shared" si="3"/>
        <v>15456.342050340432</v>
      </c>
      <c r="E17">
        <f t="shared" si="4"/>
        <v>176436.6543357131</v>
      </c>
    </row>
    <row r="18">
      <c r="A18">
        <f t="shared" si="0"/>
        <v>10.0</v>
      </c>
      <c r="B18" s="1">
        <f t="shared" si="1"/>
        <v>45931.0</v>
      </c>
      <c r="C18">
        <f t="shared" si="2"/>
        <v>483.66466480737176</v>
      </c>
      <c r="D18">
        <f t="shared" si="3"/>
        <v>14721.543235074378</v>
      </c>
      <c r="E18">
        <f t="shared" si="4"/>
        <v>191158.19757078748</v>
      </c>
    </row>
    <row r="19">
      <c r="A19">
        <f t="shared" si="0"/>
        <v>11.0</v>
      </c>
      <c r="B19" s="1">
        <f t="shared" si="1"/>
        <v>45962.0</v>
      </c>
      <c r="C19">
        <f t="shared" si="2"/>
        <v>461.51351154164865</v>
      </c>
      <c r="D19">
        <f t="shared" si="3"/>
        <v>14047.31750754893</v>
      </c>
      <c r="E19">
        <f t="shared" si="4"/>
        <v>205205.5150783364</v>
      </c>
    </row>
    <row r="20">
      <c r="A20">
        <f t="shared" si="0"/>
        <v>12.0</v>
      </c>
      <c r="B20" s="1">
        <f t="shared" si="1"/>
        <v>45992.0</v>
      </c>
      <c r="C20">
        <f t="shared" si="2"/>
        <v>441.12385586448215</v>
      </c>
      <c r="D20">
        <f t="shared" si="3"/>
        <v>13426.707362875175</v>
      </c>
      <c r="E20">
        <f t="shared" si="4"/>
        <v>218632.22244121158</v>
      </c>
    </row>
    <row r="21">
      <c r="A21">
        <f t="shared" si="0"/>
        <v>13.0</v>
      </c>
      <c r="B21" s="1">
        <f t="shared" si="1"/>
        <v>46023.0</v>
      </c>
      <c r="C21">
        <f t="shared" si="2"/>
        <v>422.3002756037059</v>
      </c>
      <c r="D21">
        <f t="shared" si="3"/>
        <v>12853.764638687799</v>
      </c>
      <c r="E21">
        <f t="shared" si="4"/>
        <v>231485.98707989938</v>
      </c>
    </row>
    <row r="22">
      <c r="A22">
        <f t="shared" si="0"/>
        <v>14.0</v>
      </c>
      <c r="B22" s="1">
        <f t="shared" si="1"/>
        <v>46054.0</v>
      </c>
      <c r="C22">
        <f t="shared" si="2"/>
        <v>404.87476330840354</v>
      </c>
      <c r="D22">
        <f t="shared" si="3"/>
        <v>12323.375608199533</v>
      </c>
      <c r="E22">
        <f t="shared" si="4"/>
        <v>243809.36268809892</v>
      </c>
    </row>
    <row r="23">
      <c r="A23">
        <f t="shared" si="0"/>
        <v>15.0</v>
      </c>
      <c r="B23" s="1">
        <f t="shared" si="1"/>
        <v>46082.0</v>
      </c>
      <c r="C23">
        <f t="shared" si="2"/>
        <v>388.70212737766116</v>
      </c>
      <c r="D23">
        <f t="shared" si="3"/>
        <v>11831.121002057562</v>
      </c>
      <c r="E23">
        <f t="shared" si="4"/>
        <v>255640.48369015648</v>
      </c>
    </row>
    <row r="24">
      <c r="A24">
        <f t="shared" si="0"/>
        <v>16.0</v>
      </c>
      <c r="B24" s="1">
        <f t="shared" si="1"/>
        <v>46113.0</v>
      </c>
      <c r="C24">
        <f t="shared" si="2"/>
        <v>373.65628315022946</v>
      </c>
      <c r="D24">
        <f t="shared" si="3"/>
        <v>11373.16311838511</v>
      </c>
      <c r="E24">
        <f t="shared" si="4"/>
        <v>267013.6468085416</v>
      </c>
    </row>
    <row r="25">
      <c r="A25">
        <f t="shared" si="0"/>
        <v>17.0</v>
      </c>
      <c r="B25" s="1">
        <f t="shared" si="1"/>
        <v>46143.0</v>
      </c>
      <c r="C25">
        <f t="shared" si="2"/>
        <v>359.6272401802037</v>
      </c>
      <c r="D25">
        <f t="shared" si="3"/>
        <v>10946.154122984952</v>
      </c>
      <c r="E25">
        <f t="shared" si="4"/>
        <v>277959.8009315266</v>
      </c>
    </row>
    <row r="26">
      <c r="A26">
        <f t="shared" si="0"/>
        <v>18.0</v>
      </c>
      <c r="B26" s="1">
        <f t="shared" si="1"/>
        <v>46174.0</v>
      </c>
      <c r="C26">
        <f t="shared" si="2"/>
        <v>346.51863853409355</v>
      </c>
      <c r="D26">
        <f t="shared" si="3"/>
        <v>10547.161060381473</v>
      </c>
      <c r="E26">
        <f t="shared" si="4"/>
        <v>288506.961991908</v>
      </c>
    </row>
    <row r="27">
      <c r="A27">
        <f t="shared" si="0"/>
        <v>19.0</v>
      </c>
      <c r="B27" s="1">
        <f t="shared" si="1"/>
        <v>46204.0</v>
      </c>
      <c r="C27">
        <f t="shared" si="2"/>
        <v>334.24572134071263</v>
      </c>
      <c r="D27">
        <f t="shared" si="3"/>
        <v>10173.60414330794</v>
      </c>
      <c r="E27">
        <f t="shared" si="4"/>
        <v>298680.566135216</v>
      </c>
    </row>
    <row r="28">
      <c r="A28">
        <f t="shared" si="0"/>
        <v>20.0</v>
      </c>
      <c r="B28" s="1">
        <f t="shared" si="1"/>
        <v>46235.0</v>
      </c>
      <c r="C28">
        <f t="shared" si="2"/>
        <v>322.7336564561796</v>
      </c>
      <c r="D28">
        <f t="shared" si="3"/>
        <v>9823.205668384966</v>
      </c>
      <c r="E28">
        <f t="shared" si="4"/>
        <v>308503.77180360095</v>
      </c>
    </row>
    <row r="29">
      <c r="A29">
        <f t="shared" si="0"/>
        <v>21.0</v>
      </c>
      <c r="B29" s="1">
        <f t="shared" si="1"/>
        <v>46266.0</v>
      </c>
      <c r="C29">
        <f t="shared" si="2"/>
        <v>311.9161393806895</v>
      </c>
      <c r="D29">
        <f t="shared" si="3"/>
        <v>9493.947492399737</v>
      </c>
      <c r="E29">
        <f t="shared" si="4"/>
        <v>317997.71929600067</v>
      </c>
    </row>
    <row r="30">
      <c r="A30">
        <f t="shared" si="0"/>
        <v>22.0</v>
      </c>
      <c r="B30" s="1">
        <f t="shared" si="1"/>
        <v>46296.0</v>
      </c>
      <c r="C30">
        <f t="shared" si="2"/>
        <v>301.73422418282433</v>
      </c>
      <c r="D30">
        <f t="shared" si="3"/>
        <v>9184.035448564715</v>
      </c>
      <c r="E30">
        <f t="shared" si="4"/>
        <v>327181.7547445654</v>
      </c>
    </row>
    <row r="31">
      <c r="A31">
        <f t="shared" si="0"/>
        <v>23.0</v>
      </c>
      <c r="B31" s="1">
        <f t="shared" si="1"/>
        <v>46327.0</v>
      </c>
      <c r="C31">
        <f t="shared" si="2"/>
        <v>292.1353403651934</v>
      </c>
      <c r="D31">
        <f t="shared" si="3"/>
        <v>8891.869422365573</v>
      </c>
      <c r="E31">
        <f t="shared" si="4"/>
        <v>336073.62416693097</v>
      </c>
    </row>
    <row r="32">
      <c r="A32">
        <f t="shared" si="0"/>
        <v>24.0</v>
      </c>
      <c r="B32" s="1">
        <f t="shared" si="1"/>
        <v>46357.0</v>
      </c>
      <c r="C32">
        <f t="shared" si="2"/>
        <v>283.07246221740706</v>
      </c>
      <c r="D32">
        <f t="shared" si="3"/>
        <v>8616.018068742327</v>
      </c>
      <c r="E32">
        <f t="shared" si="4"/>
        <v>344689.64223567327</v>
      </c>
    </row>
    <row r="33">
      <c r="A33">
        <f t="shared" si="0"/>
        <v>25.0</v>
      </c>
      <c r="B33" s="1">
        <f t="shared" si="1"/>
        <v>46388.0</v>
      </c>
      <c r="C33">
        <f t="shared" si="2"/>
        <v>274.5034038855898</v>
      </c>
      <c r="D33">
        <f t="shared" si="3"/>
        <v>8355.19735576764</v>
      </c>
      <c r="E33">
        <f t="shared" si="4"/>
        <v>353044.8395914409</v>
      </c>
    </row>
    <row r="34">
      <c r="A34">
        <f t="shared" si="0"/>
        <v>26.0</v>
      </c>
      <c r="B34" s="1">
        <f t="shared" si="1"/>
        <v>46419.0</v>
      </c>
      <c r="C34">
        <f t="shared" si="2"/>
        <v>266.39021860929523</v>
      </c>
      <c r="D34">
        <f t="shared" si="3"/>
        <v>8108.252278920424</v>
      </c>
      <c r="E34">
        <f t="shared" si="4"/>
        <v>361153.09187036136</v>
      </c>
    </row>
    <row r="35">
      <c r="A35">
        <f t="shared" si="0"/>
        <v>27.0</v>
      </c>
      <c r="B35" s="1">
        <f t="shared" si="1"/>
        <v>46447.0</v>
      </c>
      <c r="C35">
        <f t="shared" si="2"/>
        <v>258.69868468279316</v>
      </c>
      <c r="D35">
        <f t="shared" si="3"/>
        <v>7874.141215032517</v>
      </c>
      <c r="E35">
        <f t="shared" si="4"/>
        <v>369027.23308539385</v>
      </c>
    </row>
    <row r="36">
      <c r="A36">
        <f t="shared" si="0"/>
        <v>28.0</v>
      </c>
      <c r="B36" s="1">
        <f t="shared" si="1"/>
        <v>46478.0</v>
      </c>
      <c r="C36">
        <f t="shared" si="2"/>
        <v>251.39786394637528</v>
      </c>
      <c r="D36">
        <f t="shared" si="3"/>
        <v>7651.922483867797</v>
      </c>
      <c r="E36">
        <f t="shared" si="4"/>
        <v>376679.15556926164</v>
      </c>
    </row>
    <row r="37">
      <c r="A37">
        <f t="shared" si="0"/>
        <v>29.0</v>
      </c>
      <c r="B37" s="1">
        <f t="shared" si="1"/>
        <v>46508.0</v>
      </c>
      <c r="C37">
        <f t="shared" si="2"/>
        <v>244.45972119859752</v>
      </c>
      <c r="D37">
        <f t="shared" si="3"/>
        <v>7440.742763982312</v>
      </c>
      <c r="E37">
        <f t="shared" si="4"/>
        <v>384119.89833324397</v>
      </c>
    </row>
    <row r="38">
      <c r="A38">
        <f t="shared" si="0"/>
        <v>30.0</v>
      </c>
      <c r="B38" s="1">
        <f t="shared" si="1"/>
        <v>46539.0</v>
      </c>
      <c r="C38">
        <f t="shared" si="2"/>
        <v>237.85879498911777</v>
      </c>
      <c r="D38">
        <f t="shared" si="3"/>
        <v>7239.827072481272</v>
      </c>
      <c r="E38">
        <f t="shared" si="4"/>
        <v>391359.72540572524</v>
      </c>
    </row>
    <row r="39">
      <c r="A39">
        <f t="shared" si="0"/>
        <v>31.0</v>
      </c>
      <c r="B39" s="1">
        <f t="shared" si="1"/>
        <v>46569.0</v>
      </c>
      <c r="C39">
        <f t="shared" si="2"/>
        <v>231.5719119159391</v>
      </c>
      <c r="D39">
        <f t="shared" si="3"/>
        <v>7048.470068941397</v>
      </c>
      <c r="E39">
        <f t="shared" si="4"/>
        <v>398408.19547466666</v>
      </c>
    </row>
    <row r="40">
      <c r="A40">
        <f t="shared" si="0"/>
        <v>32.0</v>
      </c>
      <c r="B40" s="1">
        <f t="shared" si="1"/>
        <v>46600.0</v>
      </c>
      <c r="C40">
        <f t="shared" si="2"/>
        <v>225.57793789628542</v>
      </c>
      <c r="D40">
        <f t="shared" si="3"/>
        <v>6866.028484718187</v>
      </c>
      <c r="E40">
        <f t="shared" si="4"/>
        <v>405274.22395938484</v>
      </c>
    </row>
    <row r="41">
      <c r="A41">
        <f t="shared" si="0"/>
        <v>33.0</v>
      </c>
      <c r="B41" s="1">
        <f t="shared" si="1"/>
        <v>46631.0</v>
      </c>
      <c r="C41">
        <f t="shared" si="2"/>
        <v>219.8575609733101</v>
      </c>
      <c r="D41">
        <f t="shared" si="3"/>
        <v>6691.914512125126</v>
      </c>
      <c r="E41">
        <f t="shared" si="4"/>
        <v>411966.13847150997</v>
      </c>
    </row>
    <row r="42">
      <c r="A42">
        <f t="shared" si="0"/>
        <v>34.0</v>
      </c>
      <c r="B42" s="1">
        <f t="shared" si="1"/>
        <v>46661.0</v>
      </c>
      <c r="C42">
        <f t="shared" si="2"/>
        <v>214.39310111279326</v>
      </c>
      <c r="D42">
        <f t="shared" si="3"/>
        <v>6525.590015120645</v>
      </c>
      <c r="E42">
        <f t="shared" si="4"/>
        <v>418491.7284866306</v>
      </c>
    </row>
    <row r="43">
      <c r="A43">
        <f t="shared" si="0"/>
        <v>35.0</v>
      </c>
      <c r="B43" s="1">
        <f t="shared" si="1"/>
        <v>46692.0</v>
      </c>
      <c r="C43">
        <f t="shared" si="2"/>
        <v>209.16834317510228</v>
      </c>
      <c r="D43">
        <f t="shared" si="3"/>
        <v>6366.561445392175</v>
      </c>
      <c r="E43">
        <f t="shared" si="4"/>
        <v>424858.2899320228</v>
      </c>
    </row>
    <row r="44">
      <c r="A44">
        <f t="shared" si="0"/>
        <v>36.0</v>
      </c>
      <c r="B44" s="1">
        <f t="shared" si="1"/>
        <v>46722.0</v>
      </c>
      <c r="C44">
        <f t="shared" si="2"/>
        <v>204.16838984948896</v>
      </c>
      <c r="D44">
        <f t="shared" si="3"/>
        <v>6214.375366043821</v>
      </c>
      <c r="E44">
        <f t="shared" si="4"/>
        <v>431072.6652980666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FormatPr defaultRowHeight="15"/>
  <sheetData>
    <row r="1">
      <c r="A1" s="4" t="s">
        <v>9</v>
      </c>
    </row>
    <row r="2">
      <c r="A2" t="s">
        <v>10</v>
      </c>
      <c r="B2">
        <v>1200.0</v>
      </c>
    </row>
    <row r="3">
      <c r="A3" t="s">
        <v>11</v>
      </c>
      <c r="B3">
        <v>1.1</v>
      </c>
    </row>
    <row r="4">
      <c r="A4" t="s">
        <v>12</v>
      </c>
      <c r="B4">
        <v>0.9</v>
      </c>
    </row>
    <row r="5">
      <c r="A5" t="s">
        <v>13</v>
      </c>
      <c r="B5" s="1">
        <v>45658.0</v>
      </c>
    </row>
    <row r="8">
      <c r="A8" t="s">
        <v>14</v>
      </c>
      <c r="B8" t="s">
        <v>15</v>
      </c>
      <c r="C8" t="s">
        <v>16</v>
      </c>
      <c r="D8" t="s">
        <v>17</v>
      </c>
      <c r="E8" t="s">
        <v>18</v>
      </c>
    </row>
    <row r="9">
      <c r="A9">
        <v>1.0</v>
      </c>
      <c r="B9" s="1">
        <f t="shared" ref="B9:B44" si="6">EDATE($B$5,A9-1)</f>
        <v>45658.0</v>
      </c>
      <c r="C9">
        <f t="shared" ref="C9:C44" si="7">$B$2/(1+$B$4*$B$3/12*(A9-0.5))^(1/$B$4)</f>
        <v>1147.2965152408633</v>
      </c>
      <c r="D9">
        <f t="shared" ref="D9:D44" si="8">C9*30.4375</f>
        <v>34920.837682643774</v>
      </c>
      <c r="E9">
        <f>D9</f>
        <v>34920.837682643774</v>
      </c>
    </row>
    <row r="10">
      <c r="A10">
        <f t="shared" ref="A10:A44" si="5">A9+1</f>
        <v>2.0</v>
      </c>
      <c r="B10" s="1">
        <f t="shared" si="6"/>
        <v>45689.0</v>
      </c>
      <c r="C10">
        <f t="shared" si="7"/>
        <v>1054.0994193781748</v>
      </c>
      <c r="D10">
        <f t="shared" si="8"/>
        <v>32084.151077323197</v>
      </c>
      <c r="E10">
        <f t="shared" ref="E10:E19" si="9">E9+D10</f>
        <v>67004.98875996697</v>
      </c>
    </row>
    <row r="11">
      <c r="A11">
        <f t="shared" si="5"/>
        <v>3.0</v>
      </c>
      <c r="B11" s="1">
        <f t="shared" si="6"/>
        <v>45717.0</v>
      </c>
      <c r="C11">
        <f t="shared" si="7"/>
        <v>974.3058897038006</v>
      </c>
      <c r="D11">
        <f t="shared" si="8"/>
        <v>29655.43551785943</v>
      </c>
      <c r="E11">
        <f t="shared" si="9"/>
        <v>96660.4242778264</v>
      </c>
    </row>
    <row r="12">
      <c r="A12">
        <f t="shared" si="5"/>
        <v>4.0</v>
      </c>
      <c r="B12" s="1">
        <f t="shared" si="6"/>
        <v>45748.0</v>
      </c>
      <c r="C12">
        <f t="shared" si="7"/>
        <v>905.2563992029571</v>
      </c>
      <c r="D12">
        <f t="shared" si="8"/>
        <v>27553.74165074001</v>
      </c>
      <c r="E12">
        <f t="shared" si="9"/>
        <v>124214.1659285664</v>
      </c>
    </row>
    <row r="13">
      <c r="A13">
        <f t="shared" si="5"/>
        <v>5.0</v>
      </c>
      <c r="B13" s="1">
        <f t="shared" si="6"/>
        <v>45778.0</v>
      </c>
      <c r="C13">
        <f t="shared" si="7"/>
        <v>844.9469121670646</v>
      </c>
      <c r="D13">
        <f t="shared" si="8"/>
        <v>25718.07163908503</v>
      </c>
      <c r="E13">
        <f t="shared" si="9"/>
        <v>149932.23756765143</v>
      </c>
    </row>
    <row r="14">
      <c r="A14">
        <f t="shared" si="5"/>
        <v>6.0</v>
      </c>
      <c r="B14" s="1">
        <f t="shared" si="6"/>
        <v>45809.0</v>
      </c>
      <c r="C14">
        <f t="shared" si="7"/>
        <v>791.8393940354574</v>
      </c>
      <c r="D14">
        <f t="shared" si="8"/>
        <v>24101.611555954234</v>
      </c>
      <c r="E14">
        <f t="shared" si="9"/>
        <v>174033.84912360567</v>
      </c>
    </row>
    <row r="15">
      <c r="A15">
        <f t="shared" si="5"/>
        <v>7.0</v>
      </c>
      <c r="B15" s="1">
        <f t="shared" si="6"/>
        <v>45839.0</v>
      </c>
      <c r="C15">
        <f t="shared" si="7"/>
        <v>744.7343089996796</v>
      </c>
      <c r="D15">
        <f t="shared" si="8"/>
        <v>22667.850530177748</v>
      </c>
      <c r="E15">
        <f t="shared" si="9"/>
        <v>196701.6996537834</v>
      </c>
    </row>
    <row r="16">
      <c r="A16">
        <f t="shared" si="5"/>
        <v>8.0</v>
      </c>
      <c r="B16" s="1">
        <f t="shared" si="6"/>
        <v>45870.0</v>
      </c>
      <c r="C16">
        <f t="shared" si="7"/>
        <v>702.6827086040394</v>
      </c>
      <c r="D16">
        <f t="shared" si="8"/>
        <v>21387.904943135447</v>
      </c>
      <c r="E16">
        <f t="shared" si="9"/>
        <v>218089.60459691886</v>
      </c>
    </row>
    <row r="17">
      <c r="A17">
        <f t="shared" si="5"/>
        <v>9.0</v>
      </c>
      <c r="B17" s="1">
        <f t="shared" si="6"/>
        <v>45901.0</v>
      </c>
      <c r="C17">
        <f t="shared" si="7"/>
        <v>664.9242982151792</v>
      </c>
      <c r="D17">
        <f t="shared" si="8"/>
        <v>20238.633326924515</v>
      </c>
      <c r="E17">
        <f t="shared" si="9"/>
        <v>238328.23792384338</v>
      </c>
    </row>
    <row r="18">
      <c r="A18">
        <f t="shared" si="5"/>
        <v>10.0</v>
      </c>
      <c r="B18" s="1">
        <f t="shared" si="6"/>
        <v>45931.0</v>
      </c>
      <c r="C18">
        <f t="shared" si="7"/>
        <v>630.8429609120718</v>
      </c>
      <c r="D18">
        <f t="shared" si="8"/>
        <v>19201.282622761188</v>
      </c>
      <c r="E18">
        <f t="shared" si="9"/>
        <v>257529.52054660456</v>
      </c>
    </row>
    <row r="19">
      <c r="A19">
        <f t="shared" si="5"/>
        <v>11.0</v>
      </c>
      <c r="B19" s="1">
        <f t="shared" si="6"/>
        <v>45962.0</v>
      </c>
      <c r="C19">
        <f t="shared" si="7"/>
        <v>599.9342653562576</v>
      </c>
      <c r="D19">
        <f t="shared" si="8"/>
        <v>18260.49920178109</v>
      </c>
      <c r="E19">
        <f t="shared" si="9"/>
        <v>275790.01974838565</v>
      </c>
    </row>
    <row r="20">
      <c r="A20">
        <f t="shared" si="5"/>
        <v>12.0</v>
      </c>
      <c r="B20" s="1">
        <f t="shared" si="6"/>
        <v>45992.0</v>
      </c>
      <c r="C20">
        <f t="shared" si="7"/>
        <v>571.7813589308681</v>
      </c>
      <c r="D20">
        <f t="shared" si="8"/>
        <v>17403.595112458297</v>
      </c>
      <c r="E20">
        <v>152000.0</v>
      </c>
    </row>
    <row r="21">
      <c r="A21">
        <f t="shared" si="5"/>
        <v>13.0</v>
      </c>
      <c r="B21" s="1">
        <f t="shared" si="6"/>
        <v>46023.0</v>
      </c>
      <c r="C21">
        <f t="shared" si="7"/>
        <v>546.0368301142967</v>
      </c>
      <c r="D21">
        <f t="shared" si="8"/>
        <v>16619.996016603905</v>
      </c>
      <c r="E21">
        <f t="shared" ref="E21:E44" si="10">E20+D21</f>
        <v>168619.9960166039</v>
      </c>
    </row>
    <row r="22">
      <c r="A22">
        <f t="shared" si="5"/>
        <v>14.0</v>
      </c>
      <c r="B22" s="1">
        <f t="shared" si="6"/>
        <v>46054.0</v>
      </c>
      <c r="C22">
        <f t="shared" si="7"/>
        <v>522.4088871454562</v>
      </c>
      <c r="D22">
        <f t="shared" si="8"/>
        <v>15900.820502489823</v>
      </c>
      <c r="E22">
        <f t="shared" si="10"/>
        <v>184520.81651909373</v>
      </c>
    </row>
    <row r="23">
      <c r="A23">
        <f t="shared" si="5"/>
        <v>15.0</v>
      </c>
      <c r="B23" s="1">
        <f t="shared" si="6"/>
        <v>46082.0</v>
      </c>
      <c r="C23">
        <f t="shared" si="7"/>
        <v>500.65070254644024</v>
      </c>
      <c r="D23">
        <f t="shared" si="8"/>
        <v>15238.555758757275</v>
      </c>
      <c r="E23">
        <f t="shared" si="10"/>
        <v>199759.372277851</v>
      </c>
    </row>
    <row r="24">
      <c r="A24">
        <f t="shared" si="5"/>
        <v>16.0</v>
      </c>
      <c r="B24" s="1">
        <f t="shared" si="6"/>
        <v>46113.0</v>
      </c>
      <c r="C24">
        <f t="shared" si="7"/>
        <v>480.5521101773094</v>
      </c>
      <c r="D24">
        <f t="shared" si="8"/>
        <v>14626.804853521853</v>
      </c>
      <c r="E24">
        <f t="shared" si="10"/>
        <v>214386.17713137285</v>
      </c>
    </row>
    <row r="25">
      <c r="A25">
        <f t="shared" si="5"/>
        <v>17.0</v>
      </c>
      <c r="B25" s="1">
        <f t="shared" si="6"/>
        <v>46143.0</v>
      </c>
      <c r="C25">
        <f t="shared" si="7"/>
        <v>461.9330715158796</v>
      </c>
      <c r="D25">
        <f t="shared" si="8"/>
        <v>14060.087864264586</v>
      </c>
      <c r="E25">
        <f t="shared" si="10"/>
        <v>228446.26499563744</v>
      </c>
    </row>
    <row r="26">
      <c r="A26">
        <f t="shared" si="5"/>
        <v>18.0</v>
      </c>
      <c r="B26" s="1">
        <f t="shared" si="6"/>
        <v>46174.0</v>
      </c>
      <c r="C26">
        <f t="shared" si="7"/>
        <v>444.6384872642584</v>
      </c>
      <c r="D26">
        <f t="shared" si="8"/>
        <v>13533.683956105866</v>
      </c>
      <c r="E26">
        <f t="shared" si="10"/>
        <v>241979.9489517433</v>
      </c>
    </row>
    <row r="27">
      <c r="A27">
        <f t="shared" si="5"/>
        <v>19.0</v>
      </c>
      <c r="B27" s="1">
        <f t="shared" si="6"/>
        <v>46204.0</v>
      </c>
      <c r="C27">
        <f t="shared" si="7"/>
        <v>428.5340424533173</v>
      </c>
      <c r="D27">
        <f t="shared" si="8"/>
        <v>13043.504917172844</v>
      </c>
      <c r="E27">
        <f t="shared" si="10"/>
        <v>255023.45386891614</v>
      </c>
    </row>
    <row r="28">
      <c r="A28">
        <f t="shared" si="5"/>
        <v>20.0</v>
      </c>
      <c r="B28" s="1">
        <f t="shared" si="6"/>
        <v>46235.0</v>
      </c>
      <c r="C28">
        <f t="shared" si="7"/>
        <v>413.5028530550147</v>
      </c>
      <c r="D28">
        <f t="shared" si="8"/>
        <v>12585.993089862011</v>
      </c>
      <c r="E28">
        <f t="shared" si="10"/>
        <v>267609.44695877814</v>
      </c>
    </row>
    <row r="29">
      <c r="A29">
        <f t="shared" si="5"/>
        <v>21.0</v>
      </c>
      <c r="B29" s="1">
        <f t="shared" si="6"/>
        <v>46266.0</v>
      </c>
      <c r="C29">
        <f t="shared" si="7"/>
        <v>399.44273969243005</v>
      </c>
      <c r="D29">
        <f t="shared" si="8"/>
        <v>12158.038389388339</v>
      </c>
      <c r="E29">
        <f t="shared" si="10"/>
        <v>279767.4853481665</v>
      </c>
    </row>
    <row r="30">
      <c r="A30">
        <f t="shared" si="5"/>
        <v>22.0</v>
      </c>
      <c r="B30" s="1">
        <f t="shared" si="6"/>
        <v>46296.0</v>
      </c>
      <c r="C30">
        <f t="shared" si="7"/>
        <v>386.26399604080035</v>
      </c>
      <c r="D30">
        <f t="shared" si="8"/>
        <v>11756.910379491861</v>
      </c>
      <c r="E30">
        <f t="shared" si="10"/>
        <v>291524.39572765835</v>
      </c>
    </row>
    <row r="31">
      <c r="A31">
        <f t="shared" si="5"/>
        <v>23.0</v>
      </c>
      <c r="B31" s="1">
        <f t="shared" si="6"/>
        <v>46327.0</v>
      </c>
      <c r="C31">
        <f t="shared" si="7"/>
        <v>373.8875504811278</v>
      </c>
      <c r="D31">
        <f t="shared" si="8"/>
        <v>11380.202317769326</v>
      </c>
      <c r="E31">
        <f t="shared" si="10"/>
        <v>302904.5980454277</v>
      </c>
    </row>
    <row r="32">
      <c r="A32">
        <f t="shared" si="5"/>
        <v>24.0</v>
      </c>
      <c r="B32" s="1">
        <f t="shared" si="6"/>
        <v>46357.0</v>
      </c>
      <c r="C32">
        <f t="shared" si="7"/>
        <v>362.2434426282159</v>
      </c>
      <c r="D32">
        <f t="shared" si="8"/>
        <v>11025.784784996322</v>
      </c>
      <c r="E32">
        <f t="shared" si="10"/>
        <v>313930.382830424</v>
      </c>
    </row>
    <row r="33">
      <c r="A33">
        <f t="shared" si="5"/>
        <v>25.0</v>
      </c>
      <c r="B33" s="1">
        <f t="shared" si="6"/>
        <v>46388.0</v>
      </c>
      <c r="C33">
        <f t="shared" si="7"/>
        <v>351.2695536871823</v>
      </c>
      <c r="D33">
        <f t="shared" si="8"/>
        <v>10691.76704035361</v>
      </c>
      <c r="E33">
        <f t="shared" si="10"/>
        <v>324622.1498707776</v>
      </c>
    </row>
    <row r="34">
      <c r="A34">
        <f t="shared" si="5"/>
        <v>26.0</v>
      </c>
      <c r="B34" s="1">
        <f t="shared" si="6"/>
        <v>46419.0</v>
      </c>
      <c r="C34">
        <f t="shared" si="7"/>
        <v>340.9105427336845</v>
      </c>
      <c r="D34">
        <f t="shared" si="8"/>
        <v>10376.464644456522</v>
      </c>
      <c r="E34">
        <f t="shared" si="10"/>
        <v>334998.61451523413</v>
      </c>
    </row>
    <row r="35">
      <c r="A35">
        <f t="shared" si="5"/>
        <v>27.0</v>
      </c>
      <c r="B35" s="1">
        <f t="shared" si="6"/>
        <v>46447.0</v>
      </c>
      <c r="C35">
        <f t="shared" si="7"/>
        <v>331.11695105882023</v>
      </c>
      <c r="D35">
        <f t="shared" si="8"/>
        <v>10078.372197852841</v>
      </c>
      <c r="E35">
        <f t="shared" si="10"/>
        <v>345076.98671308695</v>
      </c>
    </row>
    <row r="36">
      <c r="A36">
        <f t="shared" si="5"/>
        <v>28.0</v>
      </c>
      <c r="B36" s="1">
        <f t="shared" si="6"/>
        <v>46478.0</v>
      </c>
      <c r="C36">
        <f t="shared" si="7"/>
        <v>321.8444444587141</v>
      </c>
      <c r="D36">
        <f t="shared" si="8"/>
        <v>9796.140278212111</v>
      </c>
      <c r="E36">
        <f t="shared" si="10"/>
        <v>354873.12699129904</v>
      </c>
    </row>
    <row r="37">
      <c r="A37">
        <f t="shared" si="5"/>
        <v>29.0</v>
      </c>
      <c r="B37" s="1">
        <f t="shared" si="6"/>
        <v>46508.0</v>
      </c>
      <c r="C37">
        <f t="shared" si="7"/>
        <v>313.0531693545091</v>
      </c>
      <c r="D37">
        <f t="shared" si="8"/>
        <v>9528.555842227872</v>
      </c>
      <c r="E37">
        <f t="shared" si="10"/>
        <v>364401.6828335269</v>
      </c>
    </row>
    <row r="38">
      <c r="A38">
        <f t="shared" si="5"/>
        <v>30.0</v>
      </c>
      <c r="B38" s="1">
        <f t="shared" si="6"/>
        <v>46539.0</v>
      </c>
      <c r="C38">
        <f t="shared" si="7"/>
        <v>304.7072033213347</v>
      </c>
      <c r="D38">
        <f t="shared" si="8"/>
        <v>9274.525501093125</v>
      </c>
      <c r="E38">
        <f t="shared" si="10"/>
        <v>373676.20833462005</v>
      </c>
    </row>
    <row r="39">
      <c r="A39">
        <f t="shared" si="5"/>
        <v>31.0</v>
      </c>
      <c r="B39" s="1">
        <f t="shared" si="6"/>
        <v>46569.0</v>
      </c>
      <c r="C39">
        <f t="shared" si="7"/>
        <v>296.7740842958569</v>
      </c>
      <c r="D39">
        <f t="shared" si="8"/>
        <v>9033.061190755145</v>
      </c>
      <c r="E39">
        <f t="shared" si="10"/>
        <v>382709.2695253752</v>
      </c>
    </row>
    <row r="40">
      <c r="A40">
        <f t="shared" si="5"/>
        <v>32.0</v>
      </c>
      <c r="B40" s="1">
        <f t="shared" si="6"/>
        <v>46600.0</v>
      </c>
      <c r="C40">
        <f t="shared" si="7"/>
        <v>289.22440565312604</v>
      </c>
      <c r="D40">
        <f t="shared" si="8"/>
        <v>8803.267847067023</v>
      </c>
      <c r="E40">
        <f t="shared" si="10"/>
        <v>391512.53737244225</v>
      </c>
    </row>
    <row r="41">
      <c r="A41">
        <f t="shared" si="5"/>
        <v>33.0</v>
      </c>
      <c r="B41" s="1">
        <f t="shared" si="6"/>
        <v>46631.0</v>
      </c>
      <c r="C41">
        <f t="shared" si="7"/>
        <v>282.0314666688685</v>
      </c>
      <c r="D41">
        <f t="shared" si="8"/>
        <v>8584.332766733685</v>
      </c>
      <c r="E41">
        <f t="shared" si="10"/>
        <v>400096.8701391759</v>
      </c>
    </row>
    <row r="42">
      <c r="A42">
        <f t="shared" si="5"/>
        <v>34.0</v>
      </c>
      <c r="B42" s="1">
        <f t="shared" si="6"/>
        <v>46661.0</v>
      </c>
      <c r="C42">
        <f t="shared" si="7"/>
        <v>275.1709697449694</v>
      </c>
      <c r="D42">
        <f t="shared" si="8"/>
        <v>8375.516391612506</v>
      </c>
      <c r="E42">
        <f t="shared" si="10"/>
        <v>408472.38653078844</v>
      </c>
    </row>
    <row r="43">
      <c r="A43">
        <f t="shared" si="5"/>
        <v>35.0</v>
      </c>
      <c r="B43" s="1">
        <f t="shared" si="6"/>
        <v>46692.0</v>
      </c>
      <c r="C43">
        <f t="shared" si="7"/>
        <v>268.6207572741359</v>
      </c>
      <c r="D43">
        <f t="shared" si="8"/>
        <v>8176.144299531511</v>
      </c>
      <c r="E43">
        <f t="shared" si="10"/>
        <v>416648.53083031997</v>
      </c>
    </row>
    <row r="44">
      <c r="A44">
        <f t="shared" si="5"/>
        <v>36.0</v>
      </c>
      <c r="B44" s="1">
        <f t="shared" si="6"/>
        <v>46722.0</v>
      </c>
      <c r="C44">
        <f t="shared" si="7"/>
        <v>262.36058223166657</v>
      </c>
      <c r="D44">
        <f t="shared" si="8"/>
        <v>7985.600221676351</v>
      </c>
      <c r="E44">
        <f t="shared" si="10"/>
        <v>424634.1310519963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FormatPr defaultRowHeight="15"/>
  <sheetData>
    <row r="1">
      <c r="A1" s="4" t="s">
        <v>9</v>
      </c>
    </row>
    <row r="2">
      <c r="A2" t="s">
        <v>10</v>
      </c>
      <c r="B2">
        <v>640.0</v>
      </c>
    </row>
    <row r="3">
      <c r="A3" t="s">
        <v>11</v>
      </c>
      <c r="B3">
        <v>0.7</v>
      </c>
    </row>
    <row r="4">
      <c r="A4" t="s">
        <v>12</v>
      </c>
      <c r="B4">
        <v>0.6</v>
      </c>
    </row>
    <row r="5">
      <c r="A5" t="s">
        <v>13</v>
      </c>
      <c r="B5" s="1">
        <v>45658.0</v>
      </c>
    </row>
    <row r="8">
      <c r="A8" t="s">
        <v>14</v>
      </c>
      <c r="B8" t="s">
        <v>15</v>
      </c>
      <c r="C8" t="s">
        <v>16</v>
      </c>
      <c r="D8" t="s">
        <v>17</v>
      </c>
      <c r="E8" t="s">
        <v>18</v>
      </c>
    </row>
    <row r="9">
      <c r="A9">
        <v>1.0</v>
      </c>
      <c r="B9" s="1">
        <f t="shared" ref="B9:B44" si="12">EDATE($B$5,A9-1)</f>
        <v>45658.0</v>
      </c>
      <c r="C9">
        <f t="shared" ref="C9:C44" si="13">$B$2*EXP(-$B$3/12*(A9-0.5))</f>
        <v>621.6029281367506</v>
      </c>
      <c r="D9">
        <f t="shared" ref="D9:D44" si="14">C9*30.4375</f>
        <v>18920.039125162348</v>
      </c>
      <c r="E9">
        <f>D9</f>
        <v>18920.039125162348</v>
      </c>
    </row>
    <row r="10">
      <c r="A10">
        <f t="shared" ref="A10:A44" si="11">A9+1</f>
        <v>2.0</v>
      </c>
      <c r="B10" s="1">
        <f t="shared" si="12"/>
        <v>45689.0</v>
      </c>
      <c r="C10">
        <f t="shared" si="13"/>
        <v>586.3800778565617</v>
      </c>
      <c r="D10">
        <f t="shared" si="14"/>
        <v>17847.943619759095</v>
      </c>
      <c r="E10">
        <f t="shared" ref="E10:E44" si="15">E9+D10</f>
        <v>36767.98274492144</v>
      </c>
    </row>
    <row r="11">
      <c r="A11">
        <f t="shared" si="11"/>
        <v>3.0</v>
      </c>
      <c r="B11" s="1">
        <f t="shared" si="12"/>
        <v>45717.0</v>
      </c>
      <c r="C11">
        <f t="shared" si="13"/>
        <v>553.153114541673</v>
      </c>
      <c r="D11">
        <f t="shared" si="14"/>
        <v>16836.59792386217</v>
      </c>
      <c r="E11">
        <f t="shared" si="15"/>
        <v>53604.580668783616</v>
      </c>
    </row>
    <row r="12">
      <c r="A12">
        <f t="shared" si="11"/>
        <v>4.0</v>
      </c>
      <c r="B12" s="1">
        <f t="shared" si="12"/>
        <v>45748.0</v>
      </c>
      <c r="C12">
        <f t="shared" si="13"/>
        <v>521.8089421550924</v>
      </c>
      <c r="D12">
        <f t="shared" si="14"/>
        <v>15882.559676845623</v>
      </c>
      <c r="E12">
        <f t="shared" si="15"/>
        <v>69487.14034562925</v>
      </c>
    </row>
    <row r="13">
      <c r="A13">
        <f t="shared" si="11"/>
        <v>5.0</v>
      </c>
      <c r="B13" s="1">
        <f t="shared" si="12"/>
        <v>45778.0</v>
      </c>
      <c r="C13">
        <f t="shared" si="13"/>
        <v>492.2408731958851</v>
      </c>
      <c r="D13">
        <f t="shared" si="14"/>
        <v>14982.581577899753</v>
      </c>
      <c r="E13">
        <f t="shared" si="15"/>
        <v>84469.721923529</v>
      </c>
    </row>
    <row r="14">
      <c r="A14">
        <f t="shared" si="11"/>
        <v>6.0</v>
      </c>
      <c r="B14" s="1">
        <f t="shared" si="12"/>
        <v>45809.0</v>
      </c>
      <c r="C14">
        <f t="shared" si="13"/>
        <v>464.3482655623609</v>
      </c>
      <c r="D14">
        <f t="shared" si="14"/>
        <v>14133.600333054359</v>
      </c>
      <c r="E14">
        <f t="shared" si="15"/>
        <v>98603.32225658336</v>
      </c>
    </row>
    <row r="15">
      <c r="A15">
        <f t="shared" si="11"/>
        <v>7.0</v>
      </c>
      <c r="B15" s="1">
        <f t="shared" si="12"/>
        <v>45839.0</v>
      </c>
      <c r="C15">
        <f t="shared" si="13"/>
        <v>438.0361799922455</v>
      </c>
      <c r="D15">
        <f t="shared" si="14"/>
        <v>13332.726228513971</v>
      </c>
      <c r="E15">
        <f t="shared" si="15"/>
        <v>111936.04848509733</v>
      </c>
    </row>
    <row r="16">
      <c r="A16">
        <f t="shared" si="11"/>
        <v>8.0</v>
      </c>
      <c r="B16" s="1">
        <f t="shared" si="12"/>
        <v>45870.0</v>
      </c>
      <c r="C16">
        <f t="shared" si="13"/>
        <v>413.2150569138509</v>
      </c>
      <c r="D16">
        <f t="shared" si="14"/>
        <v>12577.233294815336</v>
      </c>
      <c r="E16">
        <f t="shared" si="15"/>
        <v>124513.28177991266</v>
      </c>
    </row>
    <row r="17">
      <c r="A17">
        <f t="shared" si="11"/>
        <v>9.0</v>
      </c>
      <c r="B17" s="1">
        <f t="shared" si="12"/>
        <v>45901.0</v>
      </c>
      <c r="C17">
        <f t="shared" si="13"/>
        <v>389.8004116083282</v>
      </c>
      <c r="D17">
        <f t="shared" si="14"/>
        <v>11864.55002832849</v>
      </c>
      <c r="E17">
        <f t="shared" si="15"/>
        <v>136377.83180824114</v>
      </c>
    </row>
    <row r="18">
      <c r="A18">
        <f t="shared" si="11"/>
        <v>10.0</v>
      </c>
      <c r="B18" s="1">
        <f t="shared" si="12"/>
        <v>45931.0</v>
      </c>
      <c r="C18">
        <f t="shared" si="13"/>
        <v>367.7125466454147</v>
      </c>
      <c r="D18">
        <f t="shared" si="14"/>
        <v>11192.25063851981</v>
      </c>
      <c r="E18">
        <f t="shared" si="15"/>
        <v>147570.08244676096</v>
      </c>
    </row>
    <row r="19">
      <c r="A19">
        <f t="shared" si="11"/>
        <v>11.0</v>
      </c>
      <c r="B19" s="1">
        <f t="shared" si="12"/>
        <v>45962.0</v>
      </c>
      <c r="C19">
        <f t="shared" si="13"/>
        <v>346.87628061387977</v>
      </c>
      <c r="D19">
        <f t="shared" si="14"/>
        <v>10558.046791184966</v>
      </c>
      <c r="E19">
        <f t="shared" si="15"/>
        <v>158128.12923794592</v>
      </c>
    </row>
    <row r="20">
      <c r="A20">
        <f t="shared" si="11"/>
        <v>12.0</v>
      </c>
      <c r="B20" s="1">
        <f t="shared" si="12"/>
        <v>45992.0</v>
      </c>
      <c r="C20">
        <f t="shared" si="13"/>
        <v>327.22069222333795</v>
      </c>
      <c r="D20">
        <f t="shared" si="14"/>
        <v>9959.779819547848</v>
      </c>
      <c r="E20">
        <f t="shared" si="15"/>
        <v>168087.90905749376</v>
      </c>
    </row>
    <row r="21">
      <c r="A21">
        <f t="shared" si="11"/>
        <v>13.0</v>
      </c>
      <c r="B21" s="1">
        <f t="shared" si="12"/>
        <v>46023.0</v>
      </c>
      <c r="C21">
        <f t="shared" si="13"/>
        <v>308.67887890641805</v>
      </c>
      <c r="D21">
        <f t="shared" si="14"/>
        <v>9395.4133767141</v>
      </c>
      <c r="E21">
        <f t="shared" si="15"/>
        <v>177483.32243420786</v>
      </c>
    </row>
    <row r="22">
      <c r="A22">
        <f t="shared" si="11"/>
        <v>14.0</v>
      </c>
      <c r="B22" s="1">
        <f t="shared" si="12"/>
        <v>46054.0</v>
      </c>
      <c r="C22">
        <f t="shared" si="13"/>
        <v>291.1877290996311</v>
      </c>
      <c r="D22">
        <f t="shared" si="14"/>
        <v>8863.02650447002</v>
      </c>
      <c r="E22">
        <f t="shared" si="15"/>
        <v>186346.34893867787</v>
      </c>
    </row>
    <row r="23">
      <c r="A23">
        <f t="shared" si="11"/>
        <v>15.0</v>
      </c>
      <c r="B23" s="1">
        <f t="shared" si="12"/>
        <v>46082.0</v>
      </c>
      <c r="C23">
        <f t="shared" si="13"/>
        <v>274.6877074278411</v>
      </c>
      <c r="D23">
        <f t="shared" si="14"/>
        <v>8360.807094834912</v>
      </c>
      <c r="E23">
        <f t="shared" si="15"/>
        <v>194707.1560335128</v>
      </c>
    </row>
    <row r="24">
      <c r="A24">
        <f t="shared" si="11"/>
        <v>16.0</v>
      </c>
      <c r="B24" s="1">
        <f t="shared" si="12"/>
        <v>46113.0</v>
      </c>
      <c r="C24">
        <f t="shared" si="13"/>
        <v>259.1226520611606</v>
      </c>
      <c r="D24">
        <f t="shared" si="14"/>
        <v>7887.045722111575</v>
      </c>
      <c r="E24">
        <f t="shared" si="15"/>
        <v>202594.20175562435</v>
      </c>
    </row>
    <row r="25">
      <c r="A25">
        <f t="shared" si="11"/>
        <v>17.0</v>
      </c>
      <c r="B25" s="1">
        <f t="shared" si="12"/>
        <v>46143.0</v>
      </c>
      <c r="C25">
        <f t="shared" si="13"/>
        <v>244.43958355452733</v>
      </c>
      <c r="D25">
        <f t="shared" si="14"/>
        <v>7440.129824440925</v>
      </c>
      <c r="E25">
        <f t="shared" si="15"/>
        <v>210034.33158006528</v>
      </c>
    </row>
    <row r="26">
      <c r="A26">
        <f t="shared" si="11"/>
        <v>18.0</v>
      </c>
      <c r="B26" s="1">
        <f t="shared" si="12"/>
        <v>46174.0</v>
      </c>
      <c r="C26">
        <f t="shared" si="13"/>
        <v>230.5885245192991</v>
      </c>
      <c r="D26">
        <f t="shared" si="14"/>
        <v>7018.538215056166</v>
      </c>
      <c r="E26">
        <f t="shared" si="15"/>
        <v>217052.86979512146</v>
      </c>
    </row>
    <row r="27">
      <c r="A27">
        <f t="shared" si="11"/>
        <v>19.0</v>
      </c>
      <c r="B27" s="1">
        <f t="shared" si="12"/>
        <v>46204.0</v>
      </c>
      <c r="C27">
        <f t="shared" si="13"/>
        <v>217.52232951307778</v>
      </c>
      <c r="D27">
        <f t="shared" si="14"/>
        <v>6620.835904554305</v>
      </c>
      <c r="E27">
        <f t="shared" si="15"/>
        <v>223673.70569967577</v>
      </c>
    </row>
    <row r="28">
      <c r="A28">
        <f t="shared" si="11"/>
        <v>20.0</v>
      </c>
      <c r="B28" s="1">
        <f t="shared" si="12"/>
        <v>46235.0</v>
      </c>
      <c r="C28">
        <f t="shared" si="13"/>
        <v>205.19652456874923</v>
      </c>
      <c r="D28">
        <f t="shared" si="14"/>
        <v>6245.669216561305</v>
      </c>
      <c r="E28">
        <f t="shared" si="15"/>
        <v>229919.37491623708</v>
      </c>
    </row>
    <row r="29">
      <c r="A29">
        <f t="shared" si="11"/>
        <v>21.0</v>
      </c>
      <c r="B29" s="1">
        <f t="shared" si="12"/>
        <v>46266.0</v>
      </c>
      <c r="C29">
        <f t="shared" si="13"/>
        <v>193.56915581653817</v>
      </c>
      <c r="D29">
        <f t="shared" si="14"/>
        <v>5891.76118016588</v>
      </c>
      <c r="E29">
        <f t="shared" si="15"/>
        <v>235811.13609640297</v>
      </c>
    </row>
    <row r="30">
      <c r="A30">
        <f t="shared" si="11"/>
        <v>22.0</v>
      </c>
      <c r="B30" s="1">
        <f t="shared" si="12"/>
        <v>46296.0</v>
      </c>
      <c r="C30">
        <f t="shared" si="13"/>
        <v>182.60064668382614</v>
      </c>
      <c r="D30">
        <f t="shared" si="14"/>
        <v>5557.907183438958</v>
      </c>
      <c r="E30">
        <f t="shared" si="15"/>
        <v>241369.04327984192</v>
      </c>
    </row>
    <row r="31">
      <c r="A31">
        <f t="shared" si="11"/>
        <v>23.0</v>
      </c>
      <c r="B31" s="1">
        <f t="shared" si="12"/>
        <v>46327.0</v>
      </c>
      <c r="C31">
        <f t="shared" si="13"/>
        <v>172.2536631866777</v>
      </c>
      <c r="D31">
        <f t="shared" si="14"/>
        <v>5242.970873244502</v>
      </c>
      <c r="E31">
        <f t="shared" si="15"/>
        <v>246612.01415308643</v>
      </c>
    </row>
    <row r="32">
      <c r="A32">
        <f t="shared" si="11"/>
        <v>24.0</v>
      </c>
      <c r="B32" s="1">
        <f t="shared" si="12"/>
        <v>46357.0</v>
      </c>
      <c r="C32">
        <f t="shared" si="13"/>
        <v>162.4929868545616</v>
      </c>
      <c r="D32">
        <f t="shared" si="14"/>
        <v>4945.8802873857185</v>
      </c>
      <c r="E32">
        <f t="shared" si="15"/>
        <v>251557.89444047216</v>
      </c>
    </row>
    <row r="33">
      <c r="A33">
        <f t="shared" si="11"/>
        <v>25.0</v>
      </c>
      <c r="B33" s="1">
        <f t="shared" si="12"/>
        <v>46388.0</v>
      </c>
      <c r="C33">
        <f t="shared" si="13"/>
        <v>153.28539485573532</v>
      </c>
      <c r="D33">
        <f t="shared" si="14"/>
        <v>4665.624205921444</v>
      </c>
      <c r="E33">
        <f t="shared" si="15"/>
        <v>256223.5186463936</v>
      </c>
    </row>
    <row r="34">
      <c r="A34">
        <f t="shared" si="11"/>
        <v>26.0</v>
      </c>
      <c r="B34" s="1">
        <f t="shared" si="12"/>
        <v>46419.0</v>
      </c>
      <c r="C34">
        <f t="shared" si="13"/>
        <v>144.59954691527096</v>
      </c>
      <c r="D34">
        <f t="shared" si="14"/>
        <v>4401.24870923356</v>
      </c>
      <c r="E34">
        <f t="shared" si="15"/>
        <v>260624.76735562718</v>
      </c>
    </row>
    <row r="35">
      <c r="A35">
        <f t="shared" si="11"/>
        <v>27.0</v>
      </c>
      <c r="B35" s="1">
        <f t="shared" si="12"/>
        <v>46447.0</v>
      </c>
      <c r="C35">
        <f t="shared" si="13"/>
        <v>136.40587864082028</v>
      </c>
      <c r="D35">
        <f t="shared" si="14"/>
        <v>4151.853931129967</v>
      </c>
      <c r="E35">
        <f t="shared" si="15"/>
        <v>264776.6212867571</v>
      </c>
    </row>
    <row r="36">
      <c r="A36">
        <f t="shared" si="11"/>
        <v>28.0</v>
      </c>
      <c r="B36" s="1">
        <f t="shared" si="12"/>
        <v>46478.0</v>
      </c>
      <c r="C36">
        <f t="shared" si="13"/>
        <v>128.67650089302717</v>
      </c>
      <c r="D36">
        <f t="shared" si="14"/>
        <v>3916.5909959315145</v>
      </c>
      <c r="E36">
        <f t="shared" si="15"/>
        <v>268693.21228268865</v>
      </c>
    </row>
    <row r="37">
      <c r="A37">
        <f t="shared" si="11"/>
        <v>29.0</v>
      </c>
      <c r="B37" s="1">
        <f t="shared" si="12"/>
        <v>46508.0</v>
      </c>
      <c r="C37">
        <f t="shared" si="13"/>
        <v>121.38510485807059</v>
      </c>
      <c r="D37">
        <f t="shared" si="14"/>
        <v>3694.6591291175237</v>
      </c>
      <c r="E37">
        <f t="shared" si="15"/>
        <v>272387.87141180615</v>
      </c>
    </row>
    <row r="38">
      <c r="A38">
        <f t="shared" si="11"/>
        <v>30.0</v>
      </c>
      <c r="B38" s="1">
        <f t="shared" si="12"/>
        <v>46539.0</v>
      </c>
      <c r="C38">
        <f t="shared" si="13"/>
        <v>114.50687249922905</v>
      </c>
      <c r="D38">
        <f t="shared" si="14"/>
        <v>3485.3029316952843</v>
      </c>
      <c r="E38">
        <f t="shared" si="15"/>
        <v>275873.17434350145</v>
      </c>
    </row>
    <row r="39">
      <c r="A39">
        <f t="shared" si="11"/>
        <v>31.0</v>
      </c>
      <c r="B39" s="1">
        <f t="shared" si="12"/>
        <v>46569.0</v>
      </c>
      <c r="C39">
        <f t="shared" si="13"/>
        <v>108.01839208266684</v>
      </c>
      <c r="D39">
        <f t="shared" si="14"/>
        <v>3287.8098090161716</v>
      </c>
      <c r="E39">
        <f t="shared" si="15"/>
        <v>279160.98415251763</v>
      </c>
    </row>
    <row r="40">
      <c r="A40">
        <f t="shared" si="11"/>
        <v>32.0</v>
      </c>
      <c r="B40" s="1">
        <f t="shared" si="12"/>
        <v>46600.0</v>
      </c>
      <c r="C40">
        <f t="shared" si="13"/>
        <v>101.89757848991377</v>
      </c>
      <c r="D40">
        <f t="shared" si="14"/>
        <v>3101.5075452867504</v>
      </c>
      <c r="E40">
        <f t="shared" si="15"/>
        <v>282262.49169780436</v>
      </c>
    </row>
    <row r="41">
      <c r="A41">
        <f t="shared" si="11"/>
        <v>33.0</v>
      </c>
      <c r="B41" s="1">
        <f t="shared" si="12"/>
        <v>46631.0</v>
      </c>
      <c r="C41">
        <f t="shared" si="13"/>
        <v>96.1235980458023</v>
      </c>
      <c r="D41">
        <f t="shared" si="14"/>
        <v>2925.7620155191075</v>
      </c>
      <c r="E41">
        <f t="shared" si="15"/>
        <v>285188.25371332344</v>
      </c>
    </row>
    <row r="42">
      <c r="A42">
        <f t="shared" si="11"/>
        <v>34.0</v>
      </c>
      <c r="B42" s="1">
        <f t="shared" si="12"/>
        <v>46661.0</v>
      </c>
      <c r="C42">
        <f t="shared" si="13"/>
        <v>90.67679760599563</v>
      </c>
      <c r="D42">
        <f t="shared" si="14"/>
        <v>2759.975027132492</v>
      </c>
      <c r="E42">
        <f t="shared" si="15"/>
        <v>287948.22874045593</v>
      </c>
    </row>
    <row r="43">
      <c r="A43">
        <f t="shared" si="11"/>
        <v>35.0</v>
      </c>
      <c r="B43" s="1">
        <f t="shared" si="12"/>
        <v>46692.0</v>
      </c>
      <c r="C43">
        <f t="shared" si="13"/>
        <v>85.53863766273949</v>
      </c>
      <c r="D43">
        <f t="shared" si="14"/>
        <v>2603.582283859633</v>
      </c>
      <c r="E43">
        <f t="shared" si="15"/>
        <v>290551.81102431554</v>
      </c>
    </row>
    <row r="44">
      <c r="A44">
        <f t="shared" si="11"/>
        <v>36.0</v>
      </c>
      <c r="B44" s="1">
        <f t="shared" si="12"/>
        <v>46722.0</v>
      </c>
      <c r="C44">
        <f t="shared" si="13"/>
        <v>80.69162924114599</v>
      </c>
      <c r="D44">
        <f t="shared" si="14"/>
        <v>2456.0514650273813</v>
      </c>
      <c r="E44">
        <f t="shared" si="15"/>
        <v>293007.8624893429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FormatPr defaultRowHeight="15"/>
  <sheetData>
    <row r="1">
      <c r="A1" s="4" t="s">
        <v>9</v>
      </c>
    </row>
    <row r="2">
      <c r="A2" t="s">
        <v>10</v>
      </c>
      <c r="B2">
        <v>980.0</v>
      </c>
    </row>
    <row r="3">
      <c r="A3" t="s">
        <v>11</v>
      </c>
      <c r="B3">
        <v>0.85</v>
      </c>
    </row>
    <row r="4">
      <c r="A4" t="s">
        <v>12</v>
      </c>
      <c r="B4">
        <v>1.0</v>
      </c>
    </row>
    <row r="5">
      <c r="A5" t="s">
        <v>13</v>
      </c>
      <c r="B5" s="1">
        <v>45658.0</v>
      </c>
    </row>
    <row r="8">
      <c r="A8" t="s">
        <v>14</v>
      </c>
      <c r="B8" t="s">
        <v>15</v>
      </c>
      <c r="C8" t="s">
        <v>16</v>
      </c>
      <c r="D8" t="s">
        <v>17</v>
      </c>
      <c r="E8" t="s">
        <v>18</v>
      </c>
    </row>
    <row r="9">
      <c r="A9">
        <v>1.0</v>
      </c>
      <c r="B9" s="1">
        <f t="shared" ref="B9:B44" si="17">EDATE($B$5,A9-1)</f>
        <v>45658.0</v>
      </c>
      <c r="C9">
        <f t="shared" ref="C9:C44" si="18">$B$2/(1+$B$4*$B$3/12*(A9-0.5))^(1/$B$4)</f>
        <v>946.4788732394367</v>
      </c>
      <c r="D9">
        <f t="shared" ref="D9:D44" si="19">C9*30.4375</f>
        <v>28808.450704225354</v>
      </c>
      <c r="E9">
        <f>D9</f>
        <v>28808.450704225354</v>
      </c>
    </row>
    <row r="10">
      <c r="A10">
        <f t="shared" ref="A10:A44" si="16">A9+1</f>
        <v>2.0</v>
      </c>
      <c r="B10" s="1">
        <f t="shared" si="17"/>
        <v>45689.0</v>
      </c>
      <c r="C10">
        <f t="shared" si="18"/>
        <v>885.8757062146893</v>
      </c>
      <c r="D10">
        <f t="shared" si="19"/>
        <v>26963.841807909608</v>
      </c>
      <c r="E10">
        <f t="shared" ref="E10:E44" si="20">E9+D10</f>
        <v>55772.29251213496</v>
      </c>
    </row>
    <row r="11">
      <c r="A11">
        <f t="shared" si="16"/>
        <v>3.0</v>
      </c>
      <c r="B11" s="1">
        <f t="shared" si="17"/>
        <v>45717.0</v>
      </c>
      <c r="C11">
        <f t="shared" si="18"/>
        <v>832.566371681416</v>
      </c>
      <c r="D11">
        <f t="shared" si="19"/>
        <v>25341.2389380531</v>
      </c>
      <c r="E11">
        <f t="shared" si="20"/>
        <v>81113.53145018806</v>
      </c>
    </row>
    <row r="12">
      <c r="A12">
        <f t="shared" si="16"/>
        <v>4.0</v>
      </c>
      <c r="B12" s="1">
        <f t="shared" si="17"/>
        <v>45748.0</v>
      </c>
      <c r="C12">
        <f t="shared" si="18"/>
        <v>785.3088480801334</v>
      </c>
      <c r="D12">
        <f t="shared" si="19"/>
        <v>23902.83806343906</v>
      </c>
      <c r="E12">
        <f t="shared" si="20"/>
        <v>105016.36951362713</v>
      </c>
    </row>
    <row r="13">
      <c r="A13">
        <f t="shared" si="16"/>
        <v>5.0</v>
      </c>
      <c r="B13" s="1">
        <f t="shared" si="17"/>
        <v>45778.0</v>
      </c>
      <c r="C13">
        <f t="shared" si="18"/>
        <v>743.127962085308</v>
      </c>
      <c r="D13">
        <f t="shared" si="19"/>
        <v>22618.95734597156</v>
      </c>
      <c r="E13">
        <f t="shared" si="20"/>
        <v>127635.32685959869</v>
      </c>
    </row>
    <row r="14">
      <c r="A14">
        <f t="shared" si="16"/>
        <v>6.0</v>
      </c>
      <c r="B14" s="1">
        <f t="shared" si="17"/>
        <v>45809.0</v>
      </c>
      <c r="C14">
        <f t="shared" si="18"/>
        <v>705.247376311844</v>
      </c>
      <c r="D14">
        <f t="shared" si="19"/>
        <v>21465.96701649175</v>
      </c>
      <c r="E14">
        <f t="shared" si="20"/>
        <v>149101.29387609044</v>
      </c>
    </row>
    <row r="15">
      <c r="A15">
        <f t="shared" si="16"/>
        <v>7.0</v>
      </c>
      <c r="B15" s="1">
        <f t="shared" si="17"/>
        <v>45839.0</v>
      </c>
      <c r="C15">
        <f t="shared" si="18"/>
        <v>671.0413694721826</v>
      </c>
      <c r="D15">
        <f t="shared" si="19"/>
        <v>20424.821683309558</v>
      </c>
      <c r="E15">
        <f t="shared" si="20"/>
        <v>169526.1155594</v>
      </c>
    </row>
    <row r="16">
      <c r="A16">
        <f t="shared" si="16"/>
        <v>8.0</v>
      </c>
      <c r="B16" s="1">
        <f t="shared" si="17"/>
        <v>45870.0</v>
      </c>
      <c r="C16">
        <f t="shared" si="18"/>
        <v>640.0</v>
      </c>
      <c r="D16">
        <f t="shared" si="19"/>
        <v>19480.0</v>
      </c>
      <c r="E16">
        <f t="shared" si="20"/>
        <v>189006.1155594</v>
      </c>
    </row>
    <row r="17">
      <c r="A17">
        <f t="shared" si="16"/>
        <v>9.0</v>
      </c>
      <c r="B17" s="1">
        <f t="shared" si="17"/>
        <v>45901.0</v>
      </c>
      <c r="C17">
        <f t="shared" si="18"/>
        <v>611.703511053316</v>
      </c>
      <c r="D17">
        <f t="shared" si="19"/>
        <v>18618.725617685304</v>
      </c>
      <c r="E17">
        <f t="shared" si="20"/>
        <v>207624.8411770853</v>
      </c>
    </row>
    <row r="18">
      <c r="A18">
        <f t="shared" si="16"/>
        <v>10.0</v>
      </c>
      <c r="B18" s="1">
        <f t="shared" si="17"/>
        <v>45931.0</v>
      </c>
      <c r="C18">
        <f t="shared" si="18"/>
        <v>585.8032378580324</v>
      </c>
      <c r="D18">
        <f t="shared" si="19"/>
        <v>17830.38605230386</v>
      </c>
      <c r="E18">
        <f t="shared" si="20"/>
        <v>225455.22722938916</v>
      </c>
    </row>
    <row r="19">
      <c r="A19">
        <f t="shared" si="16"/>
        <v>11.0</v>
      </c>
      <c r="B19" s="1">
        <f t="shared" si="17"/>
        <v>45962.0</v>
      </c>
      <c r="C19">
        <f t="shared" si="18"/>
        <v>562.0071684587814</v>
      </c>
      <c r="D19">
        <f t="shared" si="19"/>
        <v>17106.09318996416</v>
      </c>
      <c r="E19">
        <f t="shared" si="20"/>
        <v>242561.32041935332</v>
      </c>
    </row>
    <row r="20">
      <c r="A20">
        <f t="shared" si="16"/>
        <v>12.0</v>
      </c>
      <c r="B20" s="1">
        <f t="shared" si="17"/>
        <v>45992.0</v>
      </c>
      <c r="C20">
        <f t="shared" si="18"/>
        <v>540.0688863375431</v>
      </c>
      <c r="D20">
        <f t="shared" si="19"/>
        <v>16438.346727898966</v>
      </c>
      <c r="E20">
        <f t="shared" si="20"/>
        <v>258999.66714725227</v>
      </c>
    </row>
    <row r="21">
      <c r="A21">
        <f t="shared" si="16"/>
        <v>13.0</v>
      </c>
      <c r="B21" s="1">
        <f t="shared" si="17"/>
        <v>46023.0</v>
      </c>
      <c r="C21">
        <f t="shared" si="18"/>
        <v>519.7790055248619</v>
      </c>
      <c r="D21">
        <f t="shared" si="19"/>
        <v>15820.773480662983</v>
      </c>
      <c r="E21">
        <f t="shared" si="20"/>
        <v>274820.44062791526</v>
      </c>
    </row>
    <row r="22">
      <c r="A22">
        <f t="shared" si="16"/>
        <v>14.0</v>
      </c>
      <c r="B22" s="1">
        <f t="shared" si="17"/>
        <v>46054.0</v>
      </c>
      <c r="C22">
        <f t="shared" si="18"/>
        <v>500.9584664536742</v>
      </c>
      <c r="D22">
        <f t="shared" si="19"/>
        <v>15247.923322683708</v>
      </c>
      <c r="E22">
        <f t="shared" si="20"/>
        <v>290068.363950599</v>
      </c>
    </row>
    <row r="23">
      <c r="A23">
        <f t="shared" si="16"/>
        <v>15.0</v>
      </c>
      <c r="B23" s="1">
        <f t="shared" si="17"/>
        <v>46082.0</v>
      </c>
      <c r="C23">
        <f t="shared" si="18"/>
        <v>483.4532374100719</v>
      </c>
      <c r="D23">
        <f t="shared" si="19"/>
        <v>14715.107913669062</v>
      </c>
      <c r="E23">
        <f t="shared" si="20"/>
        <v>304783.47186426807</v>
      </c>
    </row>
    <row r="24">
      <c r="A24">
        <f t="shared" si="16"/>
        <v>16.0</v>
      </c>
      <c r="B24" s="1">
        <f t="shared" si="17"/>
        <v>46113.0</v>
      </c>
      <c r="C24">
        <f t="shared" si="18"/>
        <v>467.1300893743794</v>
      </c>
      <c r="D24">
        <f t="shared" si="19"/>
        <v>14218.272095332673</v>
      </c>
      <c r="E24">
        <f t="shared" si="20"/>
        <v>319001.74395960075</v>
      </c>
    </row>
    <row r="25">
      <c r="A25">
        <f t="shared" si="16"/>
        <v>17.0</v>
      </c>
      <c r="B25" s="1">
        <f t="shared" si="17"/>
        <v>46143.0</v>
      </c>
      <c r="C25">
        <f t="shared" si="18"/>
        <v>451.8731988472622</v>
      </c>
      <c r="D25">
        <f t="shared" si="19"/>
        <v>13753.890489913543</v>
      </c>
      <c r="E25">
        <f t="shared" si="20"/>
        <v>332755.63444951427</v>
      </c>
    </row>
    <row r="26">
      <c r="A26">
        <f t="shared" si="16"/>
        <v>18.0</v>
      </c>
      <c r="B26" s="1">
        <f t="shared" si="17"/>
        <v>46174.0</v>
      </c>
      <c r="C26">
        <f t="shared" si="18"/>
        <v>437.58139534883725</v>
      </c>
      <c r="D26">
        <f t="shared" si="19"/>
        <v>13318.883720930235</v>
      </c>
      <c r="E26">
        <f t="shared" si="20"/>
        <v>346074.5181704445</v>
      </c>
    </row>
    <row r="27">
      <c r="A27">
        <f t="shared" si="16"/>
        <v>19.0</v>
      </c>
      <c r="B27" s="1">
        <f t="shared" si="17"/>
        <v>46204.0</v>
      </c>
      <c r="C27">
        <f t="shared" si="18"/>
        <v>424.16591523895397</v>
      </c>
      <c r="D27">
        <f t="shared" si="19"/>
        <v>12910.550045085662</v>
      </c>
      <c r="E27">
        <f t="shared" si="20"/>
        <v>358985.0682155302</v>
      </c>
    </row>
    <row r="28">
      <c r="A28">
        <f t="shared" si="16"/>
        <v>20.0</v>
      </c>
      <c r="B28" s="1">
        <f t="shared" si="17"/>
        <v>46235.0</v>
      </c>
      <c r="C28">
        <f t="shared" si="18"/>
        <v>411.54855643044624</v>
      </c>
      <c r="D28">
        <f t="shared" si="19"/>
        <v>12526.509186351708</v>
      </c>
      <c r="E28">
        <f t="shared" si="20"/>
        <v>371511.5774018819</v>
      </c>
    </row>
    <row r="29">
      <c r="A29">
        <f t="shared" si="16"/>
        <v>21.0</v>
      </c>
      <c r="B29" s="1">
        <f t="shared" si="17"/>
        <v>46266.0</v>
      </c>
      <c r="C29">
        <f t="shared" si="18"/>
        <v>399.66015293118096</v>
      </c>
      <c r="D29">
        <f t="shared" si="19"/>
        <v>12164.65590484282</v>
      </c>
      <c r="E29">
        <f t="shared" si="20"/>
        <v>383676.23330672475</v>
      </c>
    </row>
    <row r="30">
      <c r="A30">
        <f t="shared" si="16"/>
        <v>22.0</v>
      </c>
      <c r="B30" s="1">
        <f t="shared" si="17"/>
        <v>46296.0</v>
      </c>
      <c r="C30">
        <f t="shared" si="18"/>
        <v>388.4393063583815</v>
      </c>
      <c r="D30">
        <f t="shared" si="19"/>
        <v>11823.121387283236</v>
      </c>
      <c r="E30">
        <f t="shared" si="20"/>
        <v>395499.354694008</v>
      </c>
    </row>
    <row r="31">
      <c r="A31">
        <f t="shared" si="16"/>
        <v>23.0</v>
      </c>
      <c r="B31" s="1">
        <f t="shared" si="17"/>
        <v>46327.0</v>
      </c>
      <c r="C31">
        <f t="shared" si="18"/>
        <v>377.8313253012048</v>
      </c>
      <c r="D31">
        <f t="shared" si="19"/>
        <v>11500.240963855422</v>
      </c>
      <c r="E31">
        <f t="shared" si="20"/>
        <v>406999.5956578634</v>
      </c>
    </row>
    <row r="32">
      <c r="A32">
        <f t="shared" si="16"/>
        <v>24.0</v>
      </c>
      <c r="B32" s="1">
        <f t="shared" si="17"/>
        <v>46357.0</v>
      </c>
      <c r="C32">
        <f t="shared" si="18"/>
        <v>367.7873338545739</v>
      </c>
      <c r="D32">
        <f t="shared" si="19"/>
        <v>11194.526974198592</v>
      </c>
      <c r="E32">
        <f t="shared" si="20"/>
        <v>418194.122632062</v>
      </c>
    </row>
    <row r="33">
      <c r="A33">
        <f t="shared" si="16"/>
        <v>25.0</v>
      </c>
      <c r="B33" s="1">
        <f t="shared" si="17"/>
        <v>46388.0</v>
      </c>
      <c r="C33">
        <f t="shared" si="18"/>
        <v>358.26351865955826</v>
      </c>
      <c r="D33">
        <f t="shared" si="19"/>
        <v>10904.645849200304</v>
      </c>
      <c r="E33">
        <f t="shared" si="20"/>
        <v>429098.7684812623</v>
      </c>
    </row>
    <row r="34">
      <c r="A34">
        <f t="shared" si="16"/>
        <v>26.0</v>
      </c>
      <c r="B34" s="1">
        <f t="shared" si="17"/>
        <v>46419.0</v>
      </c>
      <c r="C34">
        <f t="shared" si="18"/>
        <v>349.2204899777283</v>
      </c>
      <c r="D34">
        <f t="shared" si="19"/>
        <v>10629.398663697104</v>
      </c>
      <c r="E34">
        <f t="shared" si="20"/>
        <v>439728.16714495944</v>
      </c>
    </row>
    <row r="35">
      <c r="A35">
        <f t="shared" si="16"/>
        <v>27.0</v>
      </c>
      <c r="B35" s="1">
        <f t="shared" si="17"/>
        <v>46447.0</v>
      </c>
      <c r="C35">
        <f t="shared" si="18"/>
        <v>340.62273714699495</v>
      </c>
      <c r="D35">
        <f t="shared" si="19"/>
        <v>10367.704561911658</v>
      </c>
      <c r="E35">
        <f t="shared" si="20"/>
        <v>450095.8717068711</v>
      </c>
    </row>
    <row r="36">
      <c r="A36">
        <f t="shared" si="16"/>
        <v>28.0</v>
      </c>
      <c r="B36" s="1">
        <f t="shared" si="17"/>
        <v>46478.0</v>
      </c>
      <c r="C36">
        <f t="shared" si="18"/>
        <v>332.43816254416964</v>
      </c>
      <c r="D36">
        <f t="shared" si="19"/>
        <v>10118.586572438164</v>
      </c>
      <c r="E36">
        <f t="shared" si="20"/>
        <v>460214.45827930927</v>
      </c>
    </row>
    <row r="37">
      <c r="A37">
        <f t="shared" si="16"/>
        <v>29.0</v>
      </c>
      <c r="B37" s="1">
        <f t="shared" si="17"/>
        <v>46508.0</v>
      </c>
      <c r="C37">
        <f t="shared" si="18"/>
        <v>324.6376811594203</v>
      </c>
      <c r="D37">
        <f t="shared" si="19"/>
        <v>9881.159420289856</v>
      </c>
      <c r="E37">
        <f t="shared" si="20"/>
        <v>470095.6176995991</v>
      </c>
    </row>
    <row r="38">
      <c r="A38">
        <f t="shared" si="16"/>
        <v>30.0</v>
      </c>
      <c r="B38" s="1">
        <f t="shared" si="17"/>
        <v>46539.0</v>
      </c>
      <c r="C38">
        <f t="shared" si="18"/>
        <v>317.1948752528658</v>
      </c>
      <c r="D38">
        <f t="shared" si="19"/>
        <v>9654.619015509103</v>
      </c>
      <c r="E38">
        <f t="shared" si="20"/>
        <v>479750.2367151082</v>
      </c>
    </row>
    <row r="39">
      <c r="A39">
        <f t="shared" si="16"/>
        <v>31.0</v>
      </c>
      <c r="B39" s="1">
        <f t="shared" si="17"/>
        <v>46569.0</v>
      </c>
      <c r="C39">
        <f t="shared" si="18"/>
        <v>310.08569545154916</v>
      </c>
      <c r="D39">
        <f t="shared" si="19"/>
        <v>9438.233355306527</v>
      </c>
      <c r="E39">
        <f t="shared" si="20"/>
        <v>489188.47007041477</v>
      </c>
    </row>
    <row r="40">
      <c r="A40">
        <f t="shared" si="16"/>
        <v>32.0</v>
      </c>
      <c r="B40" s="1">
        <f t="shared" si="17"/>
        <v>46600.0</v>
      </c>
      <c r="C40">
        <f t="shared" si="18"/>
        <v>303.28820116054163</v>
      </c>
      <c r="D40">
        <f t="shared" si="19"/>
        <v>9231.334622823986</v>
      </c>
      <c r="E40">
        <f t="shared" si="20"/>
        <v>498419.80469323875</v>
      </c>
    </row>
    <row r="41">
      <c r="A41">
        <f t="shared" si="16"/>
        <v>33.0</v>
      </c>
      <c r="B41" s="1">
        <f t="shared" si="17"/>
        <v>46631.0</v>
      </c>
      <c r="C41">
        <f t="shared" si="18"/>
        <v>296.782334384858</v>
      </c>
      <c r="D41">
        <f t="shared" si="19"/>
        <v>9033.312302839116</v>
      </c>
      <c r="E41">
        <f t="shared" si="20"/>
        <v>507453.1169960779</v>
      </c>
    </row>
    <row r="42">
      <c r="A42">
        <f t="shared" si="16"/>
        <v>34.0</v>
      </c>
      <c r="B42" s="1">
        <f t="shared" si="17"/>
        <v>46661.0</v>
      </c>
      <c r="C42">
        <f t="shared" si="18"/>
        <v>290.54972205064854</v>
      </c>
      <c r="D42">
        <f t="shared" si="19"/>
        <v>8843.607164916615</v>
      </c>
      <c r="E42">
        <f t="shared" si="20"/>
        <v>516296.7241609945</v>
      </c>
    </row>
    <row r="43">
      <c r="A43">
        <f t="shared" si="16"/>
        <v>35.0</v>
      </c>
      <c r="B43" s="1">
        <f t="shared" si="17"/>
        <v>46692.0</v>
      </c>
      <c r="C43">
        <f t="shared" si="18"/>
        <v>284.57350272232304</v>
      </c>
      <c r="D43">
        <f t="shared" si="19"/>
        <v>8661.705989110707</v>
      </c>
      <c r="E43">
        <f t="shared" si="20"/>
        <v>524958.4301501053</v>
      </c>
    </row>
    <row r="44">
      <c r="A44">
        <f t="shared" si="16"/>
        <v>36.0</v>
      </c>
      <c r="B44" s="1">
        <f t="shared" si="17"/>
        <v>46722.0</v>
      </c>
      <c r="C44">
        <f t="shared" si="18"/>
        <v>278.8381742738589</v>
      </c>
      <c r="D44">
        <f t="shared" si="19"/>
        <v>8487.13692946058</v>
      </c>
      <c r="E44">
        <f t="shared" si="20"/>
        <v>533445.5670795658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>
  <dc:title>Synthetic test workbook</dc:title>
  <dc:creator>Fixture generator</dc:creator>
</cp:coreProperties>
</file>